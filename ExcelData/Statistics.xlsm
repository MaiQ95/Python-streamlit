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prudzinski\Desktop\szablony baz danych\Python streamlit\Statystyki\"/>
    </mc:Choice>
  </mc:AlternateContent>
  <xr:revisionPtr revIDLastSave="0" documentId="13_ncr:1_{686DEFF0-8631-4663-99E3-820860E6A8D5}" xr6:coauthVersionLast="47" xr6:coauthVersionMax="47" xr10:uidLastSave="{00000000-0000-0000-0000-000000000000}"/>
  <bookViews>
    <workbookView xWindow="10245" yWindow="0" windowWidth="10245" windowHeight="10920" firstSheet="3" activeTab="4" xr2:uid="{00000000-000D-0000-FFFF-FFFF00000000}"/>
  </bookViews>
  <sheets>
    <sheet name="FirstLane" sheetId="29" r:id="rId1"/>
    <sheet name="SecondLine" sheetId="4" r:id="rId2"/>
    <sheet name="ThirdLine" sheetId="1" r:id="rId3"/>
    <sheet name="Shifts" sheetId="37" r:id="rId4"/>
    <sheet name="ShiftsMonth" sheetId="38" r:id="rId5"/>
  </sheets>
  <definedNames>
    <definedName name="_xlnm._FilterDatabase" localSheetId="1" hidden="1">SecondLine!$A$1:$J$252</definedName>
    <definedName name="_xlnm._FilterDatabase" localSheetId="2" hidden="1">ThirdLine!$A$1:$J$1</definedName>
    <definedName name="DaneZewnętrzne_1" localSheetId="1" hidden="1">SecondLine!$A$1:$J$252</definedName>
    <definedName name="DaneZewnętrzne_1" localSheetId="2" hidden="1">ThirdLine!$A$1:$J$251</definedName>
    <definedName name="SEKTOR">#REF!</definedName>
    <definedName name="SYSTEM">#REF!</definedName>
    <definedName name="ZMIAN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  <c r="B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" i="4"/>
  <c r="B10" i="29"/>
  <c r="B11" i="29"/>
  <c r="B12" i="29"/>
  <c r="B9" i="29"/>
  <c r="B13" i="29"/>
  <c r="B14" i="29"/>
  <c r="B4" i="29"/>
  <c r="B5" i="29"/>
  <c r="B6" i="29"/>
  <c r="B7" i="29"/>
  <c r="B3" i="29"/>
  <c r="B8" i="29"/>
  <c r="B2" i="29"/>
  <c r="J3" i="29"/>
  <c r="J4" i="29"/>
  <c r="J5" i="29"/>
  <c r="J6" i="29"/>
  <c r="J7" i="29"/>
  <c r="J8" i="29"/>
  <c r="J9" i="29"/>
  <c r="J10" i="29"/>
  <c r="J11" i="29"/>
  <c r="J12" i="29"/>
  <c r="J13" i="29"/>
  <c r="J14" i="29"/>
  <c r="J15" i="29"/>
  <c r="J16" i="29"/>
  <c r="J17" i="29"/>
  <c r="J18" i="29"/>
  <c r="J19" i="29"/>
  <c r="J20" i="29"/>
  <c r="J21" i="29"/>
  <c r="J22" i="29"/>
  <c r="J23" i="29"/>
  <c r="J24" i="29"/>
  <c r="J25" i="29"/>
  <c r="J26" i="29"/>
  <c r="J27" i="29"/>
  <c r="J28" i="29"/>
  <c r="J29" i="29"/>
  <c r="J30" i="29"/>
  <c r="J31" i="29"/>
  <c r="J32" i="29"/>
  <c r="J33" i="29"/>
  <c r="J34" i="29"/>
  <c r="J35" i="29"/>
  <c r="J36" i="29"/>
  <c r="J37" i="29"/>
  <c r="J38" i="29"/>
  <c r="J39" i="29"/>
  <c r="J40" i="29"/>
  <c r="J41" i="29"/>
  <c r="J42" i="29"/>
  <c r="J43" i="29"/>
  <c r="J44" i="29"/>
  <c r="J45" i="29"/>
  <c r="J46" i="29"/>
  <c r="J47" i="29"/>
  <c r="J48" i="29"/>
  <c r="J49" i="29"/>
  <c r="J50" i="29"/>
  <c r="J51" i="29"/>
  <c r="J52" i="29"/>
  <c r="J53" i="29"/>
  <c r="J54" i="29"/>
  <c r="J55" i="29"/>
  <c r="J56" i="29"/>
  <c r="J57" i="29"/>
  <c r="J58" i="29"/>
  <c r="J59" i="29"/>
  <c r="J60" i="29"/>
  <c r="J61" i="29"/>
  <c r="J62" i="29"/>
  <c r="J63" i="29"/>
  <c r="J64" i="29"/>
  <c r="J65" i="29"/>
  <c r="J66" i="29"/>
  <c r="J67" i="29"/>
  <c r="J68" i="29"/>
  <c r="J69" i="29"/>
  <c r="J70" i="29"/>
  <c r="J71" i="29"/>
  <c r="J72" i="29"/>
  <c r="J73" i="29"/>
  <c r="J74" i="29"/>
  <c r="J75" i="29"/>
  <c r="J76" i="29"/>
  <c r="J77" i="29"/>
  <c r="J78" i="29"/>
  <c r="J79" i="29"/>
  <c r="J80" i="29"/>
  <c r="J81" i="29"/>
  <c r="J82" i="29"/>
  <c r="J83" i="29"/>
  <c r="J84" i="29"/>
  <c r="J85" i="29"/>
  <c r="J86" i="29"/>
  <c r="J87" i="29"/>
  <c r="J88" i="29"/>
  <c r="J89" i="29"/>
  <c r="J90" i="29"/>
  <c r="J91" i="29"/>
  <c r="J92" i="29"/>
  <c r="J93" i="29"/>
  <c r="J94" i="29"/>
  <c r="J95" i="29"/>
  <c r="J96" i="29"/>
  <c r="J97" i="29"/>
  <c r="J98" i="29"/>
  <c r="J99" i="29"/>
  <c r="J100" i="29"/>
  <c r="J2" i="29"/>
  <c r="B5" i="4" l="1"/>
  <c r="B4" i="4"/>
  <c r="B15" i="29"/>
  <c r="B3" i="37"/>
  <c r="B4" i="37"/>
  <c r="B5" i="37"/>
  <c r="B6" i="37"/>
  <c r="B7" i="37"/>
  <c r="B8" i="37"/>
  <c r="B9" i="37"/>
  <c r="B10" i="37"/>
  <c r="B11" i="37"/>
  <c r="B12" i="37"/>
  <c r="B13" i="37"/>
  <c r="B14" i="37"/>
  <c r="B15" i="37"/>
  <c r="B16" i="37"/>
  <c r="B17" i="37"/>
  <c r="B18" i="37"/>
  <c r="B19" i="37"/>
  <c r="B20" i="37"/>
  <c r="B21" i="37"/>
  <c r="B22" i="37"/>
  <c r="B23" i="37"/>
  <c r="B24" i="37"/>
  <c r="B25" i="37"/>
  <c r="B26" i="37"/>
  <c r="B27" i="37"/>
  <c r="B28" i="37"/>
  <c r="B29" i="37"/>
  <c r="B30" i="37"/>
  <c r="B31" i="37"/>
  <c r="B32" i="37"/>
  <c r="B33" i="37"/>
  <c r="B34" i="37"/>
  <c r="B35" i="37"/>
  <c r="B36" i="37"/>
  <c r="B37" i="37"/>
  <c r="B38" i="37"/>
  <c r="B39" i="37"/>
  <c r="B40" i="37"/>
  <c r="B41" i="37"/>
  <c r="B42" i="37"/>
  <c r="B43" i="37"/>
  <c r="B44" i="37"/>
  <c r="B45" i="37"/>
  <c r="B46" i="37"/>
  <c r="B47" i="37"/>
  <c r="B48" i="37"/>
  <c r="B49" i="37"/>
  <c r="B50" i="37"/>
  <c r="B51" i="37"/>
  <c r="B52" i="37"/>
  <c r="B53" i="37"/>
  <c r="B54" i="37"/>
  <c r="B55" i="37"/>
  <c r="B56" i="37"/>
  <c r="B57" i="37"/>
  <c r="B58" i="37"/>
  <c r="B59" i="37"/>
  <c r="B60" i="37"/>
  <c r="B61" i="37"/>
  <c r="B62" i="37"/>
  <c r="B63" i="37"/>
  <c r="B64" i="37"/>
  <c r="B65" i="37"/>
  <c r="B66" i="37"/>
  <c r="B67" i="37"/>
  <c r="B68" i="37"/>
  <c r="B69" i="37"/>
  <c r="B70" i="37"/>
  <c r="B71" i="37"/>
  <c r="B72" i="37"/>
  <c r="B73" i="37"/>
  <c r="B74" i="37"/>
  <c r="B75" i="37"/>
  <c r="B76" i="37"/>
  <c r="B77" i="37"/>
  <c r="B78" i="37"/>
  <c r="B79" i="37"/>
  <c r="B80" i="37"/>
  <c r="B81" i="37"/>
  <c r="B82" i="37"/>
  <c r="B83" i="37"/>
  <c r="B84" i="37"/>
  <c r="B85" i="37"/>
  <c r="B86" i="37"/>
  <c r="B87" i="37"/>
  <c r="B88" i="37"/>
  <c r="B89" i="37"/>
  <c r="B90" i="37"/>
  <c r="B91" i="37"/>
  <c r="B92" i="37"/>
  <c r="B93" i="37"/>
  <c r="B94" i="37"/>
  <c r="B95" i="37"/>
  <c r="B96" i="37"/>
  <c r="B97" i="37"/>
  <c r="B98" i="37"/>
  <c r="B99" i="37"/>
  <c r="B100" i="37"/>
  <c r="B101" i="37"/>
  <c r="B102" i="37"/>
  <c r="B103" i="37"/>
  <c r="B104" i="37"/>
  <c r="B105" i="37"/>
  <c r="B106" i="37"/>
  <c r="B107" i="37"/>
  <c r="B108" i="37"/>
  <c r="B109" i="37"/>
  <c r="B110" i="37"/>
  <c r="B111" i="37"/>
  <c r="B112" i="37"/>
  <c r="B113" i="37"/>
  <c r="B114" i="37"/>
  <c r="B115" i="37"/>
  <c r="B116" i="37"/>
  <c r="B117" i="37"/>
  <c r="B118" i="37"/>
  <c r="B119" i="37"/>
  <c r="B120" i="37"/>
  <c r="B121" i="37"/>
  <c r="B122" i="37"/>
  <c r="B123" i="37"/>
  <c r="B124" i="37"/>
  <c r="B125" i="37"/>
  <c r="B126" i="37"/>
  <c r="B127" i="37"/>
  <c r="B128" i="37"/>
  <c r="B129" i="37"/>
  <c r="B130" i="37"/>
  <c r="B131" i="37"/>
  <c r="B132" i="37"/>
  <c r="B133" i="37"/>
  <c r="B134" i="37"/>
  <c r="B135" i="37"/>
  <c r="B136" i="37"/>
  <c r="B137" i="37"/>
  <c r="B138" i="37"/>
  <c r="B139" i="37"/>
  <c r="B140" i="37"/>
  <c r="B141" i="37"/>
  <c r="B142" i="37"/>
  <c r="B143" i="37"/>
  <c r="B144" i="37"/>
  <c r="B145" i="37"/>
  <c r="B146" i="37"/>
  <c r="B147" i="37"/>
  <c r="B148" i="37"/>
  <c r="B149" i="37"/>
  <c r="B150" i="37"/>
  <c r="B151" i="37"/>
  <c r="B152" i="37"/>
  <c r="B153" i="37"/>
  <c r="B154" i="37"/>
  <c r="B155" i="37"/>
  <c r="B156" i="37"/>
  <c r="B157" i="37"/>
  <c r="B158" i="37"/>
  <c r="B159" i="37"/>
  <c r="B160" i="37"/>
  <c r="B161" i="37"/>
  <c r="B162" i="37"/>
  <c r="B163" i="37"/>
  <c r="B164" i="37"/>
  <c r="B165" i="37"/>
  <c r="B166" i="37"/>
  <c r="B167" i="37"/>
  <c r="B168" i="37"/>
  <c r="B169" i="37"/>
  <c r="B170" i="37"/>
  <c r="B171" i="37"/>
  <c r="B172" i="37"/>
  <c r="B173" i="37"/>
  <c r="B174" i="37"/>
  <c r="B175" i="37"/>
  <c r="B176" i="37"/>
  <c r="B177" i="37"/>
  <c r="B178" i="37"/>
  <c r="B179" i="37"/>
  <c r="B180" i="37"/>
  <c r="B181" i="37"/>
  <c r="B182" i="37"/>
  <c r="B183" i="37"/>
  <c r="B184" i="37"/>
  <c r="B185" i="37"/>
  <c r="B186" i="37"/>
  <c r="B187" i="37"/>
  <c r="B188" i="37"/>
  <c r="B189" i="37"/>
  <c r="B190" i="37"/>
  <c r="B191" i="37"/>
  <c r="B192" i="37"/>
  <c r="B193" i="37"/>
  <c r="B194" i="37"/>
  <c r="B195" i="37"/>
  <c r="B196" i="37"/>
  <c r="B197" i="37"/>
  <c r="B198" i="37"/>
  <c r="B199" i="37"/>
  <c r="B200" i="37"/>
  <c r="B201" i="37"/>
  <c r="B202" i="37"/>
  <c r="B203" i="37"/>
  <c r="B204" i="37"/>
  <c r="B205" i="37"/>
  <c r="B206" i="37"/>
  <c r="B207" i="37"/>
  <c r="B208" i="37"/>
  <c r="B209" i="37"/>
  <c r="B210" i="37"/>
  <c r="B211" i="37"/>
  <c r="B212" i="37"/>
  <c r="B213" i="37"/>
  <c r="B214" i="37"/>
  <c r="B215" i="37"/>
  <c r="B216" i="37"/>
  <c r="B217" i="37"/>
  <c r="B218" i="37"/>
  <c r="B219" i="37"/>
  <c r="B220" i="37"/>
  <c r="B221" i="37"/>
  <c r="B222" i="37"/>
  <c r="B223" i="37"/>
  <c r="B224" i="37"/>
  <c r="B225" i="37"/>
  <c r="B226" i="37"/>
  <c r="B227" i="37"/>
  <c r="B228" i="37"/>
  <c r="B229" i="37"/>
  <c r="B230" i="37"/>
  <c r="B231" i="37"/>
  <c r="B232" i="37"/>
  <c r="B233" i="37"/>
  <c r="B234" i="37"/>
  <c r="B235" i="37"/>
  <c r="B236" i="37"/>
  <c r="B237" i="37"/>
  <c r="B238" i="37"/>
  <c r="B239" i="37"/>
  <c r="B240" i="37"/>
  <c r="B241" i="37"/>
  <c r="B242" i="37"/>
  <c r="B243" i="37"/>
  <c r="B244" i="37"/>
  <c r="B245" i="37"/>
  <c r="B246" i="37"/>
  <c r="B247" i="37"/>
  <c r="B248" i="37"/>
  <c r="B249" i="37"/>
  <c r="B250" i="37"/>
  <c r="B251" i="37"/>
  <c r="B252" i="37"/>
  <c r="B253" i="37"/>
  <c r="B254" i="37"/>
  <c r="B255" i="37"/>
  <c r="B256" i="37"/>
  <c r="B257" i="37"/>
  <c r="B258" i="37"/>
  <c r="B259" i="37"/>
  <c r="B260" i="37"/>
  <c r="B261" i="37"/>
  <c r="B262" i="37"/>
  <c r="B263" i="37"/>
  <c r="B264" i="37"/>
  <c r="B265" i="37"/>
  <c r="B266" i="37"/>
  <c r="B267" i="37"/>
  <c r="B268" i="37"/>
  <c r="B269" i="37"/>
  <c r="B270" i="37"/>
  <c r="B271" i="37"/>
  <c r="B272" i="37"/>
  <c r="B273" i="37"/>
  <c r="B274" i="37"/>
  <c r="B275" i="37"/>
  <c r="B276" i="37"/>
  <c r="B277" i="37"/>
  <c r="B278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98" i="37"/>
  <c r="B299" i="37"/>
  <c r="B300" i="37"/>
  <c r="B301" i="37"/>
  <c r="B302" i="37"/>
  <c r="B303" i="37"/>
  <c r="B304" i="37"/>
  <c r="B305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0" i="37"/>
  <c r="B321" i="37"/>
  <c r="B322" i="37"/>
  <c r="B323" i="37"/>
  <c r="B324" i="37"/>
  <c r="B325" i="37"/>
  <c r="B326" i="37"/>
  <c r="B327" i="37"/>
  <c r="B328" i="37"/>
  <c r="B329" i="37"/>
  <c r="B330" i="37"/>
  <c r="B331" i="37"/>
  <c r="B332" i="37"/>
  <c r="B333" i="37"/>
  <c r="B334" i="37"/>
  <c r="B335" i="37"/>
  <c r="B336" i="37"/>
  <c r="B337" i="37"/>
  <c r="B338" i="37"/>
  <c r="B339" i="37"/>
  <c r="B340" i="37"/>
  <c r="B341" i="37"/>
  <c r="B342" i="37"/>
  <c r="B343" i="37"/>
  <c r="B344" i="37"/>
  <c r="B345" i="37"/>
  <c r="B346" i="37"/>
  <c r="B347" i="37"/>
  <c r="B348" i="37"/>
  <c r="B349" i="37"/>
  <c r="B350" i="37"/>
  <c r="B351" i="37"/>
  <c r="B352" i="37"/>
  <c r="B353" i="37"/>
  <c r="B354" i="37"/>
  <c r="B355" i="37"/>
  <c r="B356" i="37"/>
  <c r="B357" i="37"/>
  <c r="B358" i="37"/>
  <c r="B359" i="37"/>
  <c r="B360" i="37"/>
  <c r="B361" i="37"/>
  <c r="B362" i="37"/>
  <c r="B363" i="37"/>
  <c r="B364" i="37"/>
  <c r="B365" i="37"/>
  <c r="B366" i="37"/>
  <c r="B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E80" i="37"/>
  <c r="E81" i="37"/>
  <c r="E82" i="37"/>
  <c r="E83" i="37"/>
  <c r="E84" i="37"/>
  <c r="E85" i="37"/>
  <c r="E86" i="37"/>
  <c r="E87" i="37"/>
  <c r="E88" i="37"/>
  <c r="E89" i="37"/>
  <c r="E90" i="37"/>
  <c r="E91" i="37"/>
  <c r="E92" i="37"/>
  <c r="E93" i="37"/>
  <c r="E94" i="37"/>
  <c r="E95" i="37"/>
  <c r="E96" i="37"/>
  <c r="E97" i="37"/>
  <c r="E98" i="37"/>
  <c r="E99" i="37"/>
  <c r="E100" i="37"/>
  <c r="E101" i="37"/>
  <c r="E102" i="37"/>
  <c r="E103" i="37"/>
  <c r="E104" i="37"/>
  <c r="E105" i="37"/>
  <c r="E106" i="37"/>
  <c r="E107" i="37"/>
  <c r="E108" i="37"/>
  <c r="E109" i="37"/>
  <c r="E110" i="37"/>
  <c r="E111" i="37"/>
  <c r="E112" i="37"/>
  <c r="E113" i="37"/>
  <c r="E114" i="37"/>
  <c r="E115" i="37"/>
  <c r="E116" i="37"/>
  <c r="E117" i="37"/>
  <c r="E118" i="37"/>
  <c r="E119" i="37"/>
  <c r="E120" i="37"/>
  <c r="E121" i="37"/>
  <c r="E122" i="37"/>
  <c r="E123" i="37"/>
  <c r="E124" i="37"/>
  <c r="E125" i="37"/>
  <c r="E126" i="37"/>
  <c r="E127" i="37"/>
  <c r="E128" i="37"/>
  <c r="E129" i="37"/>
  <c r="E130" i="37"/>
  <c r="E131" i="37"/>
  <c r="E132" i="37"/>
  <c r="E133" i="37"/>
  <c r="E134" i="37"/>
  <c r="E135" i="37"/>
  <c r="E136" i="37"/>
  <c r="E137" i="37"/>
  <c r="E138" i="37"/>
  <c r="E139" i="37"/>
  <c r="E140" i="37"/>
  <c r="E141" i="37"/>
  <c r="E142" i="37"/>
  <c r="E143" i="37"/>
  <c r="E144" i="37"/>
  <c r="E145" i="37"/>
  <c r="E146" i="37"/>
  <c r="E147" i="37"/>
  <c r="E148" i="37"/>
  <c r="E149" i="37"/>
  <c r="E150" i="37"/>
  <c r="E151" i="37"/>
  <c r="E152" i="37"/>
  <c r="E153" i="37"/>
  <c r="E154" i="37"/>
  <c r="E155" i="37"/>
  <c r="E156" i="37"/>
  <c r="E157" i="37"/>
  <c r="E158" i="37"/>
  <c r="E159" i="37"/>
  <c r="E160" i="37"/>
  <c r="E161" i="37"/>
  <c r="E162" i="37"/>
  <c r="E163" i="37"/>
  <c r="E164" i="37"/>
  <c r="E165" i="37"/>
  <c r="E166" i="37"/>
  <c r="E167" i="37"/>
  <c r="E168" i="37"/>
  <c r="E169" i="37"/>
  <c r="E170" i="37"/>
  <c r="E171" i="37"/>
  <c r="E172" i="37"/>
  <c r="E173" i="37"/>
  <c r="E174" i="37"/>
  <c r="E175" i="37"/>
  <c r="E176" i="37"/>
  <c r="E177" i="37"/>
  <c r="E178" i="37"/>
  <c r="E179" i="37"/>
  <c r="E180" i="37"/>
  <c r="E181" i="37"/>
  <c r="E182" i="37"/>
  <c r="E183" i="37"/>
  <c r="E184" i="37"/>
  <c r="E185" i="37"/>
  <c r="E186" i="37"/>
  <c r="E187" i="37"/>
  <c r="E188" i="37"/>
  <c r="E189" i="37"/>
  <c r="E190" i="37"/>
  <c r="E191" i="37"/>
  <c r="E192" i="37"/>
  <c r="E193" i="37"/>
  <c r="E194" i="37"/>
  <c r="E195" i="37"/>
  <c r="E196" i="37"/>
  <c r="E197" i="37"/>
  <c r="E198" i="37"/>
  <c r="E199" i="37"/>
  <c r="E200" i="37"/>
  <c r="E201" i="37"/>
  <c r="E202" i="37"/>
  <c r="E203" i="37"/>
  <c r="E204" i="37"/>
  <c r="E205" i="37"/>
  <c r="E206" i="37"/>
  <c r="E207" i="37"/>
  <c r="E208" i="37"/>
  <c r="E209" i="37"/>
  <c r="E210" i="37"/>
  <c r="E211" i="37"/>
  <c r="E212" i="37"/>
  <c r="E213" i="37"/>
  <c r="E214" i="37"/>
  <c r="E215" i="37"/>
  <c r="E216" i="37"/>
  <c r="E217" i="37"/>
  <c r="E218" i="37"/>
  <c r="E219" i="37"/>
  <c r="E220" i="37"/>
  <c r="E221" i="37"/>
  <c r="E222" i="37"/>
  <c r="E223" i="37"/>
  <c r="E224" i="37"/>
  <c r="E225" i="37"/>
  <c r="E226" i="37"/>
  <c r="E227" i="37"/>
  <c r="E228" i="37"/>
  <c r="E229" i="37"/>
  <c r="E230" i="37"/>
  <c r="E231" i="37"/>
  <c r="E232" i="37"/>
  <c r="E233" i="37"/>
  <c r="E234" i="37"/>
  <c r="E235" i="37"/>
  <c r="E236" i="37"/>
  <c r="E237" i="37"/>
  <c r="E238" i="37"/>
  <c r="E239" i="37"/>
  <c r="E240" i="37"/>
  <c r="E241" i="37"/>
  <c r="E242" i="37"/>
  <c r="E243" i="37"/>
  <c r="E244" i="37"/>
  <c r="E245" i="37"/>
  <c r="E246" i="37"/>
  <c r="E247" i="37"/>
  <c r="E248" i="37"/>
  <c r="E249" i="37"/>
  <c r="E250" i="37"/>
  <c r="E251" i="37"/>
  <c r="E252" i="37"/>
  <c r="E253" i="37"/>
  <c r="E254" i="37"/>
  <c r="E255" i="37"/>
  <c r="E256" i="37"/>
  <c r="E257" i="37"/>
  <c r="E258" i="37"/>
  <c r="E259" i="37"/>
  <c r="E260" i="37"/>
  <c r="E261" i="37"/>
  <c r="E262" i="37"/>
  <c r="E263" i="37"/>
  <c r="E264" i="37"/>
  <c r="E265" i="37"/>
  <c r="E266" i="37"/>
  <c r="E267" i="37"/>
  <c r="E268" i="37"/>
  <c r="E269" i="37"/>
  <c r="E270" i="37"/>
  <c r="E271" i="37"/>
  <c r="E272" i="37"/>
  <c r="E273" i="37"/>
  <c r="E274" i="37"/>
  <c r="E275" i="37"/>
  <c r="E276" i="37"/>
  <c r="E277" i="37"/>
  <c r="E278" i="37"/>
  <c r="E279" i="37"/>
  <c r="E280" i="37"/>
  <c r="E281" i="37"/>
  <c r="E282" i="37"/>
  <c r="E283" i="37"/>
  <c r="E284" i="37"/>
  <c r="E285" i="37"/>
  <c r="E286" i="37"/>
  <c r="E287" i="37"/>
  <c r="E288" i="37"/>
  <c r="E289" i="37"/>
  <c r="E290" i="37"/>
  <c r="E291" i="37"/>
  <c r="E292" i="37"/>
  <c r="E293" i="37"/>
  <c r="E294" i="37"/>
  <c r="E295" i="37"/>
  <c r="E296" i="37"/>
  <c r="E297" i="37"/>
  <c r="E298" i="37"/>
  <c r="E299" i="37"/>
  <c r="E300" i="37"/>
  <c r="E301" i="37"/>
  <c r="E302" i="37"/>
  <c r="E303" i="37"/>
  <c r="E304" i="37"/>
  <c r="E305" i="37"/>
  <c r="E306" i="37"/>
  <c r="E307" i="37"/>
  <c r="E308" i="37"/>
  <c r="E309" i="37"/>
  <c r="E310" i="37"/>
  <c r="E311" i="37"/>
  <c r="E312" i="37"/>
  <c r="E313" i="37"/>
  <c r="E314" i="37"/>
  <c r="E315" i="37"/>
  <c r="E316" i="37"/>
  <c r="E317" i="37"/>
  <c r="E318" i="37"/>
  <c r="E319" i="37"/>
  <c r="E320" i="37"/>
  <c r="E321" i="37"/>
  <c r="E322" i="37"/>
  <c r="E323" i="37"/>
  <c r="E324" i="37"/>
  <c r="E325" i="37"/>
  <c r="E326" i="37"/>
  <c r="E327" i="37"/>
  <c r="E328" i="37"/>
  <c r="E329" i="37"/>
  <c r="E330" i="37"/>
  <c r="E331" i="37"/>
  <c r="E332" i="37"/>
  <c r="E333" i="37"/>
  <c r="E334" i="37"/>
  <c r="E335" i="37"/>
  <c r="E336" i="37"/>
  <c r="E337" i="37"/>
  <c r="E338" i="37"/>
  <c r="E339" i="37"/>
  <c r="E340" i="37"/>
  <c r="E341" i="37"/>
  <c r="E342" i="37"/>
  <c r="E343" i="37"/>
  <c r="E344" i="37"/>
  <c r="E345" i="37"/>
  <c r="E346" i="37"/>
  <c r="E347" i="37"/>
  <c r="E348" i="37"/>
  <c r="E349" i="37"/>
  <c r="E350" i="37"/>
  <c r="E351" i="37"/>
  <c r="E352" i="37"/>
  <c r="E353" i="37"/>
  <c r="E354" i="37"/>
  <c r="E355" i="37"/>
  <c r="E356" i="37"/>
  <c r="E357" i="37"/>
  <c r="E358" i="37"/>
  <c r="E359" i="37"/>
  <c r="E360" i="37"/>
  <c r="E361" i="37"/>
  <c r="E362" i="37"/>
  <c r="E363" i="37"/>
  <c r="E364" i="37"/>
  <c r="E365" i="37"/>
  <c r="E366" i="37"/>
  <c r="E2" i="37"/>
  <c r="B6" i="4" l="1"/>
  <c r="B16" i="29"/>
  <c r="D12" i="38"/>
  <c r="D8" i="38"/>
  <c r="D4" i="38"/>
  <c r="D11" i="38"/>
  <c r="D7" i="38"/>
  <c r="D3" i="38"/>
  <c r="D10" i="38"/>
  <c r="D6" i="38"/>
  <c r="D2" i="38"/>
  <c r="D13" i="38"/>
  <c r="D9" i="38"/>
  <c r="D5" i="38"/>
  <c r="B7" i="4" l="1"/>
  <c r="B17" i="29"/>
  <c r="B8" i="4" l="1"/>
  <c r="B18" i="29"/>
  <c r="B9" i="4" l="1"/>
  <c r="B19" i="29"/>
  <c r="B10" i="4" l="1"/>
  <c r="B20" i="29"/>
  <c r="B11" i="4" l="1"/>
  <c r="B21" i="29"/>
  <c r="B12" i="4" l="1"/>
  <c r="B22" i="29"/>
  <c r="B13" i="4" l="1"/>
  <c r="B23" i="29"/>
  <c r="B14" i="4" l="1"/>
  <c r="B24" i="29"/>
  <c r="B15" i="4" l="1"/>
  <c r="B25" i="29"/>
  <c r="B16" i="4" l="1"/>
  <c r="B26" i="29"/>
  <c r="B17" i="4" l="1"/>
  <c r="B27" i="29"/>
  <c r="B18" i="4" l="1"/>
  <c r="B28" i="29"/>
  <c r="B19" i="4" l="1"/>
  <c r="B29" i="29"/>
  <c r="B20" i="4" l="1"/>
  <c r="B30" i="29"/>
  <c r="B21" i="4" l="1"/>
  <c r="B31" i="29"/>
  <c r="B22" i="4" l="1"/>
  <c r="B32" i="29"/>
  <c r="B23" i="4" l="1"/>
  <c r="B33" i="29"/>
  <c r="B24" i="4" l="1"/>
  <c r="B34" i="29"/>
  <c r="B25" i="4" l="1"/>
  <c r="B35" i="29"/>
  <c r="B26" i="4" l="1"/>
  <c r="B36" i="29"/>
  <c r="B27" i="4" l="1"/>
  <c r="B37" i="29"/>
  <c r="B28" i="4" l="1"/>
  <c r="B38" i="29"/>
  <c r="B29" i="4" l="1"/>
  <c r="B39" i="29"/>
  <c r="B30" i="4" l="1"/>
  <c r="B40" i="29"/>
  <c r="B31" i="4" l="1"/>
  <c r="B41" i="29"/>
  <c r="B32" i="4" l="1"/>
  <c r="B42" i="29"/>
  <c r="B33" i="4" l="1"/>
  <c r="B43" i="29"/>
  <c r="B34" i="4" l="1"/>
  <c r="B44" i="29"/>
  <c r="B35" i="4" l="1"/>
  <c r="B45" i="29"/>
  <c r="B36" i="4" l="1"/>
  <c r="B46" i="29"/>
  <c r="B37" i="4" l="1"/>
  <c r="B47" i="29"/>
  <c r="B38" i="4" l="1"/>
  <c r="B48" i="29"/>
  <c r="B39" i="4" l="1"/>
  <c r="B49" i="29"/>
  <c r="B40" i="4" l="1"/>
  <c r="B50" i="29"/>
  <c r="B41" i="4" l="1"/>
  <c r="B51" i="29"/>
  <c r="B42" i="4" l="1"/>
  <c r="B52" i="29"/>
  <c r="B43" i="4" l="1"/>
  <c r="B53" i="29"/>
  <c r="B44" i="4" l="1"/>
  <c r="B54" i="29"/>
  <c r="B45" i="4" l="1"/>
  <c r="B55" i="29"/>
  <c r="B46" i="4" l="1"/>
  <c r="B56" i="29"/>
  <c r="B47" i="4" l="1"/>
  <c r="B57" i="29"/>
  <c r="B48" i="4" l="1"/>
  <c r="B58" i="29"/>
  <c r="B49" i="4" l="1"/>
  <c r="B59" i="29"/>
  <c r="B50" i="4" l="1"/>
  <c r="B60" i="29"/>
  <c r="B51" i="4" l="1"/>
  <c r="B61" i="29"/>
  <c r="B52" i="4" l="1"/>
  <c r="B62" i="29"/>
  <c r="B53" i="4" l="1"/>
  <c r="B63" i="29"/>
  <c r="B54" i="4" l="1"/>
  <c r="B64" i="29"/>
  <c r="B55" i="4" l="1"/>
  <c r="B65" i="29"/>
  <c r="B56" i="4" l="1"/>
  <c r="B66" i="29"/>
  <c r="B57" i="4" l="1"/>
  <c r="B67" i="29"/>
  <c r="B58" i="4" l="1"/>
  <c r="B68" i="29"/>
  <c r="B59" i="4" l="1"/>
  <c r="B69" i="29"/>
  <c r="B60" i="4" l="1"/>
  <c r="B70" i="29"/>
  <c r="B61" i="4" l="1"/>
  <c r="B71" i="29"/>
  <c r="B62" i="4" l="1"/>
  <c r="B72" i="29"/>
  <c r="B63" i="4" l="1"/>
  <c r="B73" i="29"/>
  <c r="B64" i="4" l="1"/>
  <c r="B74" i="29"/>
  <c r="B65" i="4" l="1"/>
  <c r="B75" i="29"/>
  <c r="B66" i="4" l="1"/>
  <c r="B76" i="29"/>
  <c r="B67" i="4" l="1"/>
  <c r="B77" i="29"/>
  <c r="B68" i="4" l="1"/>
  <c r="B78" i="29"/>
  <c r="B69" i="4" l="1"/>
  <c r="B79" i="29"/>
  <c r="B70" i="4" l="1"/>
  <c r="B80" i="29"/>
  <c r="B71" i="4" l="1"/>
  <c r="B81" i="29"/>
  <c r="B72" i="4" l="1"/>
  <c r="B82" i="29"/>
  <c r="B73" i="4" l="1"/>
  <c r="B83" i="29"/>
  <c r="B74" i="4" l="1"/>
  <c r="B84" i="29"/>
  <c r="B75" i="4" l="1"/>
  <c r="B85" i="29"/>
  <c r="B76" i="4" l="1"/>
  <c r="B86" i="29"/>
  <c r="B77" i="4" l="1"/>
  <c r="B87" i="29"/>
  <c r="B78" i="4" l="1"/>
  <c r="B88" i="29"/>
  <c r="B79" i="4" l="1"/>
  <c r="B89" i="29"/>
  <c r="B80" i="4" l="1"/>
  <c r="B90" i="29"/>
  <c r="B81" i="4" l="1"/>
  <c r="B91" i="29"/>
  <c r="B82" i="4" l="1"/>
  <c r="B92" i="29"/>
  <c r="B83" i="4" l="1"/>
  <c r="B93" i="29"/>
  <c r="B84" i="4" l="1"/>
  <c r="B94" i="29"/>
  <c r="B85" i="4" l="1"/>
  <c r="B95" i="29"/>
  <c r="B86" i="4" l="1"/>
  <c r="B96" i="29"/>
  <c r="B87" i="4" l="1"/>
  <c r="B97" i="29"/>
  <c r="B88" i="4" l="1"/>
  <c r="B98" i="29"/>
  <c r="B89" i="4" l="1"/>
  <c r="B99" i="29"/>
  <c r="B90" i="4" l="1"/>
  <c r="B100" i="29"/>
  <c r="C169" i="37"/>
  <c r="C308" i="37"/>
  <c r="C143" i="37"/>
  <c r="C193" i="37"/>
  <c r="C164" i="37"/>
  <c r="C132" i="37"/>
  <c r="C234" i="37"/>
  <c r="C347" i="37"/>
  <c r="C161" i="37"/>
  <c r="C57" i="37"/>
  <c r="C197" i="37"/>
  <c r="C73" i="37"/>
  <c r="C144" i="37"/>
  <c r="C68" i="37"/>
  <c r="C292" i="37"/>
  <c r="C82" i="37"/>
  <c r="C278" i="37"/>
  <c r="C352" i="37"/>
  <c r="C230" i="37"/>
  <c r="C322" i="37"/>
  <c r="C247" i="37"/>
  <c r="C299" i="37"/>
  <c r="C9" i="37"/>
  <c r="C139" i="37"/>
  <c r="C45" i="37"/>
  <c r="C328" i="37"/>
  <c r="C219" i="37"/>
  <c r="C162" i="37"/>
  <c r="C214" i="37"/>
  <c r="C124" i="37"/>
  <c r="C21" i="37"/>
  <c r="C326" i="37"/>
  <c r="C302" i="37"/>
  <c r="C266" i="37"/>
  <c r="C182" i="37"/>
  <c r="C92" i="37"/>
  <c r="C256" i="37"/>
  <c r="C217" i="37"/>
  <c r="C277" i="37"/>
  <c r="C53" i="37"/>
  <c r="C272" i="37"/>
  <c r="C127" i="37"/>
  <c r="C25" i="37"/>
  <c r="C58" i="37"/>
  <c r="C33" i="37"/>
  <c r="C236" i="37"/>
  <c r="C94" i="37"/>
  <c r="C344" i="37"/>
  <c r="C356" i="37"/>
  <c r="C154" i="37"/>
  <c r="C196" i="37"/>
  <c r="C284" i="37"/>
  <c r="C251" i="37"/>
  <c r="C11" i="37"/>
  <c r="C265" i="37"/>
  <c r="C184" i="37"/>
  <c r="C215" i="37"/>
  <c r="C280" i="37"/>
  <c r="C287" i="37"/>
  <c r="C320" i="37"/>
  <c r="C101" i="37"/>
  <c r="C27" i="37"/>
  <c r="C86" i="37"/>
  <c r="C166" i="37"/>
  <c r="C168" i="37"/>
  <c r="C100" i="37"/>
  <c r="C332" i="37"/>
  <c r="C116" i="37"/>
  <c r="C336" i="37"/>
  <c r="C349" i="37"/>
  <c r="C339" i="37"/>
  <c r="C78" i="37"/>
  <c r="C338" i="37"/>
  <c r="C146" i="37"/>
  <c r="C231" i="37"/>
  <c r="C362" i="37"/>
  <c r="C55" i="37"/>
  <c r="C248" i="37"/>
  <c r="C172" i="37"/>
  <c r="C163" i="37"/>
  <c r="C106" i="37"/>
  <c r="C195" i="37"/>
  <c r="C354" i="37"/>
  <c r="C10" i="37"/>
  <c r="C26" i="37"/>
  <c r="C16" i="37"/>
  <c r="C275" i="37"/>
  <c r="C126" i="37"/>
  <c r="C223" i="37"/>
  <c r="C62" i="37"/>
  <c r="C130" i="37"/>
  <c r="C28" i="37"/>
  <c r="C95" i="37"/>
  <c r="C246" i="37"/>
  <c r="C260" i="37"/>
  <c r="C153" i="37"/>
  <c r="C276" i="37"/>
  <c r="C43" i="37"/>
  <c r="C115" i="37"/>
  <c r="C180" i="37"/>
  <c r="C281" i="37"/>
  <c r="C75" i="37"/>
  <c r="C117" i="37"/>
  <c r="C37" i="37"/>
  <c r="C70" i="37"/>
  <c r="C316" i="37"/>
  <c r="C81" i="37"/>
  <c r="C147" i="37"/>
  <c r="C291" i="37"/>
  <c r="C20" i="37"/>
  <c r="C22" i="37"/>
  <c r="C176" i="37"/>
  <c r="C160" i="37"/>
  <c r="C240" i="37"/>
  <c r="C309" i="37"/>
  <c r="C303" i="37"/>
  <c r="C358" i="37"/>
  <c r="C343" i="37"/>
  <c r="C12" i="37"/>
  <c r="C355" i="37"/>
  <c r="C293" i="37"/>
  <c r="C19" i="37"/>
  <c r="C208" i="37"/>
  <c r="C39" i="37"/>
  <c r="C35" i="37"/>
  <c r="C353" i="37"/>
  <c r="C103" i="37"/>
  <c r="C306" i="37"/>
  <c r="C173" i="37"/>
  <c r="C47" i="37"/>
  <c r="C69" i="37"/>
  <c r="C213" i="37"/>
  <c r="C348" i="37"/>
  <c r="C360" i="37"/>
  <c r="C250" i="37"/>
  <c r="C85" i="37"/>
  <c r="C165" i="37"/>
  <c r="C194" i="37"/>
  <c r="C60" i="37"/>
  <c r="C149" i="37"/>
  <c r="C274" i="37"/>
  <c r="C296" i="37"/>
  <c r="C333" i="37"/>
  <c r="C54" i="37"/>
  <c r="C23" i="37"/>
  <c r="C200" i="37"/>
  <c r="C222" i="37"/>
  <c r="C64" i="37"/>
  <c r="C93" i="37"/>
  <c r="C29" i="37"/>
  <c r="C52" i="37"/>
  <c r="C71" i="37"/>
  <c r="C318" i="37"/>
  <c r="C181" i="37"/>
  <c r="C142" i="37"/>
  <c r="C267" i="37"/>
  <c r="C205" i="37"/>
  <c r="C259" i="37"/>
  <c r="C178" i="37"/>
  <c r="C191" i="37"/>
  <c r="C72" i="37"/>
  <c r="C97" i="37"/>
  <c r="C56" i="37"/>
  <c r="C125" i="37"/>
  <c r="C88" i="37"/>
  <c r="C241" i="37"/>
  <c r="C44" i="37"/>
  <c r="C226" i="37"/>
  <c r="C258" i="37"/>
  <c r="C290" i="37"/>
  <c r="C63" i="37"/>
  <c r="C286" i="37"/>
  <c r="C262" i="37"/>
  <c r="C98" i="37"/>
  <c r="C300" i="37"/>
  <c r="C119" i="37"/>
  <c r="C74" i="37"/>
  <c r="C189" i="37"/>
  <c r="C151" i="37"/>
  <c r="C357" i="37"/>
  <c r="C83" i="37"/>
  <c r="C38" i="37"/>
  <c r="C334" i="37"/>
  <c r="C325" i="37"/>
  <c r="C337" i="37"/>
  <c r="C34" i="37"/>
  <c r="C253" i="37"/>
  <c r="C252" i="37"/>
  <c r="C297" i="37"/>
  <c r="C305" i="37"/>
  <c r="C76" i="37"/>
  <c r="C233" i="37"/>
  <c r="C156" i="37"/>
  <c r="C59" i="37"/>
  <c r="C269" i="37"/>
  <c r="C112" i="37"/>
  <c r="C152" i="37"/>
  <c r="C327" i="37"/>
  <c r="C109" i="37"/>
  <c r="C51" i="37"/>
  <c r="C345" i="37"/>
  <c r="C351" i="37"/>
  <c r="C324" i="37"/>
  <c r="C30" i="37"/>
  <c r="C331" i="37"/>
  <c r="C32" i="37"/>
  <c r="C273" i="37"/>
  <c r="C87" i="37"/>
  <c r="C48" i="37"/>
  <c r="C201" i="37"/>
  <c r="C294" i="37"/>
  <c r="C229" i="37"/>
  <c r="C228" i="37"/>
  <c r="C15" i="37"/>
  <c r="C113" i="37"/>
  <c r="C40" i="37"/>
  <c r="C14" i="37"/>
  <c r="C107" i="37"/>
  <c r="C317" i="37"/>
  <c r="C232" i="37"/>
  <c r="C131" i="37"/>
  <c r="C323" i="37"/>
  <c r="C188" i="37"/>
  <c r="C42" i="37"/>
  <c r="C157" i="37"/>
  <c r="C227" i="37"/>
  <c r="C123" i="37"/>
  <c r="C179" i="37"/>
  <c r="C216" i="37"/>
  <c r="C90" i="37"/>
  <c r="C270" i="37"/>
  <c r="C170" i="37"/>
  <c r="C257" i="37"/>
  <c r="C313" i="37"/>
  <c r="C136" i="37"/>
  <c r="C315" i="37"/>
  <c r="C238" i="37"/>
  <c r="C361" i="37"/>
  <c r="C120" i="37"/>
  <c r="C49" i="37"/>
  <c r="C301" i="37"/>
  <c r="C221" i="37"/>
  <c r="C204" i="37"/>
  <c r="C133" i="37"/>
  <c r="C4" i="37"/>
  <c r="C148" i="37"/>
  <c r="C321" i="37"/>
  <c r="C341" i="37"/>
  <c r="C199" i="37"/>
  <c r="C80" i="37"/>
  <c r="C77" i="37"/>
  <c r="C122" i="37"/>
  <c r="C285" i="37"/>
  <c r="C365" i="37"/>
  <c r="C183" i="37"/>
  <c r="C264" i="37"/>
  <c r="C158" i="37"/>
  <c r="C24" i="37"/>
  <c r="C99" i="37"/>
  <c r="C8" i="37"/>
  <c r="C298" i="37"/>
  <c r="C235" i="37"/>
  <c r="C129" i="37"/>
  <c r="C121" i="37"/>
  <c r="C134" i="37"/>
  <c r="C2" i="37"/>
  <c r="C13" i="37"/>
  <c r="C177" i="37"/>
  <c r="C135" i="37"/>
  <c r="C3" i="37"/>
  <c r="C84" i="37"/>
  <c r="C311" i="37"/>
  <c r="C212" i="37"/>
  <c r="C118" i="37"/>
  <c r="C145" i="37"/>
  <c r="C283" i="37"/>
  <c r="C307" i="37"/>
  <c r="C114" i="37"/>
  <c r="C65" i="37"/>
  <c r="C171" i="37"/>
  <c r="C96" i="37"/>
  <c r="C319" i="37"/>
  <c r="C89" i="37"/>
  <c r="C185" i="37"/>
  <c r="C91" i="37"/>
  <c r="C7" i="37"/>
  <c r="C220" i="37"/>
  <c r="C312" i="37"/>
  <c r="C268" i="37"/>
  <c r="C140" i="37"/>
  <c r="C202" i="37"/>
  <c r="C224" i="37"/>
  <c r="C104" i="37"/>
  <c r="C206" i="37"/>
  <c r="C186" i="37"/>
  <c r="C249" i="37"/>
  <c r="C150" i="37"/>
  <c r="C244" i="37"/>
  <c r="C155" i="37"/>
  <c r="C237" i="37"/>
  <c r="C6" i="37"/>
  <c r="C295" i="37"/>
  <c r="C137" i="37"/>
  <c r="C61" i="37"/>
  <c r="C31" i="37"/>
  <c r="C67" i="37"/>
  <c r="C79" i="37"/>
  <c r="C41" i="37"/>
  <c r="C141" i="37"/>
  <c r="C46" i="37"/>
  <c r="C218" i="37"/>
  <c r="C310" i="37"/>
  <c r="C263" i="37"/>
  <c r="C282" i="37"/>
  <c r="C167" i="37"/>
  <c r="C66" i="37"/>
  <c r="C340" i="37"/>
  <c r="C175" i="37"/>
  <c r="C329" i="37"/>
  <c r="C242" i="37"/>
  <c r="C174" i="37"/>
  <c r="C261" i="37"/>
  <c r="C187" i="37"/>
  <c r="C211" i="37"/>
  <c r="C288" i="37"/>
  <c r="C192" i="37"/>
  <c r="C203" i="37"/>
  <c r="C5" i="37"/>
  <c r="C159" i="37"/>
  <c r="C225" i="37"/>
  <c r="C210" i="37"/>
  <c r="C243" i="37"/>
  <c r="C102" i="37"/>
  <c r="C105" i="37"/>
  <c r="C255" i="37"/>
  <c r="C346" i="37"/>
  <c r="C330" i="37"/>
  <c r="C366" i="37"/>
  <c r="C198" i="37"/>
  <c r="C279" i="37"/>
  <c r="C190" i="37"/>
  <c r="C36" i="37"/>
  <c r="C254" i="37"/>
  <c r="C239" i="37"/>
  <c r="C363" i="37"/>
  <c r="C50" i="37"/>
  <c r="C314" i="37"/>
  <c r="C245" i="37"/>
  <c r="C128" i="37"/>
  <c r="C342" i="37"/>
  <c r="C18" i="37"/>
  <c r="C271" i="37"/>
  <c r="C364" i="37"/>
  <c r="C335" i="37"/>
  <c r="C111" i="37"/>
  <c r="C304" i="37"/>
  <c r="C209" i="37"/>
  <c r="C17" i="37"/>
  <c r="C207" i="37"/>
  <c r="C138" i="37"/>
  <c r="C359" i="37"/>
  <c r="C108" i="37"/>
  <c r="C350" i="37"/>
  <c r="C289" i="37"/>
  <c r="C110" i="37"/>
  <c r="B91" i="4" l="1"/>
  <c r="B11" i="38"/>
  <c r="B2" i="38"/>
  <c r="B13" i="38"/>
  <c r="B3" i="38"/>
  <c r="B9" i="38"/>
  <c r="B8" i="38"/>
  <c r="B10" i="38"/>
  <c r="B4" i="38"/>
  <c r="B6" i="38"/>
  <c r="B12" i="38"/>
  <c r="B7" i="38"/>
  <c r="B5" i="38"/>
  <c r="B92" i="4" l="1"/>
  <c r="B93" i="4" l="1"/>
  <c r="B94" i="4" l="1"/>
  <c r="B95" i="4" l="1"/>
  <c r="B96" i="4" l="1"/>
  <c r="B97" i="4" l="1"/>
  <c r="B98" i="4" l="1"/>
  <c r="B99" i="4" l="1"/>
  <c r="B100" i="4" l="1"/>
  <c r="B101" i="4" l="1"/>
  <c r="B102" i="4" l="1"/>
  <c r="B103" i="4" l="1"/>
  <c r="B104" i="4" l="1"/>
  <c r="B105" i="4" l="1"/>
  <c r="B106" i="4" l="1"/>
  <c r="B107" i="4" l="1"/>
  <c r="B108" i="4" l="1"/>
  <c r="B109" i="4" l="1"/>
  <c r="B110" i="4" l="1"/>
  <c r="B111" i="4" l="1"/>
  <c r="B112" i="4" l="1"/>
  <c r="B113" i="4" l="1"/>
  <c r="B114" i="4" l="1"/>
  <c r="B115" i="4" l="1"/>
  <c r="B116" i="4" l="1"/>
  <c r="B117" i="4" l="1"/>
  <c r="B118" i="4" l="1"/>
  <c r="B119" i="4" l="1"/>
  <c r="B120" i="4" l="1"/>
  <c r="B121" i="4" l="1"/>
  <c r="B122" i="4" l="1"/>
  <c r="B123" i="4" l="1"/>
  <c r="B124" i="4" l="1"/>
  <c r="B125" i="4" l="1"/>
  <c r="B126" i="4" l="1"/>
  <c r="B127" i="4" l="1"/>
  <c r="B128" i="4" l="1"/>
  <c r="B129" i="4" l="1"/>
  <c r="B130" i="4" l="1"/>
  <c r="B131" i="4" l="1"/>
  <c r="B132" i="4" l="1"/>
  <c r="B133" i="4" l="1"/>
  <c r="B134" i="4" l="1"/>
  <c r="B135" i="4" l="1"/>
  <c r="B136" i="4" l="1"/>
  <c r="B137" i="4" l="1"/>
  <c r="B138" i="4" l="1"/>
  <c r="B139" i="4" l="1"/>
  <c r="B140" i="4" l="1"/>
  <c r="B141" i="4" l="1"/>
  <c r="B142" i="4" l="1"/>
  <c r="B143" i="4" l="1"/>
  <c r="B144" i="4" l="1"/>
  <c r="B145" i="4" l="1"/>
  <c r="B146" i="4" l="1"/>
  <c r="B147" i="4" l="1"/>
  <c r="B148" i="4" l="1"/>
  <c r="B149" i="4" l="1"/>
  <c r="B150" i="4" l="1"/>
  <c r="B151" i="4" l="1"/>
  <c r="B152" i="4" l="1"/>
  <c r="B153" i="4" l="1"/>
  <c r="B154" i="4" l="1"/>
  <c r="B155" i="4" l="1"/>
  <c r="B156" i="4" l="1"/>
  <c r="B157" i="4" l="1"/>
  <c r="B158" i="4" l="1"/>
  <c r="B159" i="4" l="1"/>
  <c r="B160" i="4" l="1"/>
  <c r="B161" i="4" l="1"/>
  <c r="B162" i="4" l="1"/>
  <c r="B163" i="4" l="1"/>
  <c r="B164" i="4" l="1"/>
  <c r="B165" i="4" l="1"/>
  <c r="B166" i="4" l="1"/>
  <c r="B167" i="4" l="1"/>
  <c r="B168" i="4" l="1"/>
  <c r="B169" i="4" l="1"/>
  <c r="B170" i="4" l="1"/>
  <c r="B171" i="4" l="1"/>
  <c r="B172" i="4" l="1"/>
  <c r="B173" i="4" l="1"/>
  <c r="B174" i="4" l="1"/>
  <c r="B175" i="4" l="1"/>
  <c r="B176" i="4" l="1"/>
  <c r="B177" i="4" l="1"/>
  <c r="B178" i="4" l="1"/>
  <c r="B179" i="4" l="1"/>
  <c r="B180" i="4" l="1"/>
  <c r="B181" i="4" l="1"/>
  <c r="B182" i="4" l="1"/>
  <c r="B183" i="4" l="1"/>
  <c r="B184" i="4" l="1"/>
  <c r="B185" i="4" l="1"/>
  <c r="B186" i="4" l="1"/>
  <c r="B187" i="4" l="1"/>
  <c r="B188" i="4" l="1"/>
  <c r="B189" i="4" l="1"/>
  <c r="B190" i="4" l="1"/>
  <c r="B191" i="4" l="1"/>
  <c r="B192" i="4" l="1"/>
  <c r="B193" i="4" l="1"/>
  <c r="B194" i="4" l="1"/>
  <c r="B195" i="4" l="1"/>
  <c r="B196" i="4" l="1"/>
  <c r="B197" i="4" l="1"/>
  <c r="B198" i="4" l="1"/>
  <c r="B199" i="4" l="1"/>
  <c r="B200" i="4" l="1"/>
  <c r="B201" i="4" l="1"/>
  <c r="B202" i="4" l="1"/>
  <c r="B203" i="4" l="1"/>
  <c r="B204" i="4" l="1"/>
  <c r="B205" i="4" l="1"/>
  <c r="B206" i="4" l="1"/>
  <c r="B207" i="4" l="1"/>
  <c r="B208" i="4" l="1"/>
  <c r="B209" i="4" l="1"/>
  <c r="B210" i="4" l="1"/>
  <c r="B211" i="4" l="1"/>
  <c r="B212" i="4" l="1"/>
  <c r="B213" i="4" l="1"/>
  <c r="B214" i="4" l="1"/>
  <c r="B215" i="4" l="1"/>
  <c r="B216" i="4" l="1"/>
  <c r="B217" i="4" l="1"/>
  <c r="B218" i="4" l="1"/>
  <c r="B219" i="4" l="1"/>
  <c r="B220" i="4" l="1"/>
  <c r="B221" i="4" l="1"/>
  <c r="B222" i="4" l="1"/>
  <c r="B223" i="4" l="1"/>
  <c r="B224" i="4" l="1"/>
  <c r="B225" i="4" l="1"/>
  <c r="B226" i="4" l="1"/>
  <c r="B227" i="4" l="1"/>
  <c r="B228" i="4" l="1"/>
  <c r="B229" i="4" l="1"/>
  <c r="B230" i="4" l="1"/>
  <c r="B231" i="4" l="1"/>
  <c r="B232" i="4" l="1"/>
  <c r="B233" i="4" l="1"/>
  <c r="B234" i="4" l="1"/>
  <c r="B235" i="4" l="1"/>
  <c r="B236" i="4" l="1"/>
  <c r="B237" i="4" l="1"/>
  <c r="B238" i="4" l="1"/>
  <c r="B239" i="4" l="1"/>
  <c r="B240" i="4" l="1"/>
  <c r="B241" i="4" l="1"/>
  <c r="B242" i="4" l="1"/>
  <c r="B243" i="4" l="1"/>
  <c r="B244" i="4" l="1"/>
  <c r="B245" i="4" l="1"/>
  <c r="B246" i="4" l="1"/>
  <c r="B247" i="4" l="1"/>
  <c r="B248" i="4" l="1"/>
  <c r="B249" i="4" l="1"/>
  <c r="B250" i="4" l="1"/>
  <c r="B251" i="4" l="1"/>
  <c r="B252" i="4" l="1"/>
  <c r="D166" i="37"/>
  <c r="D85" i="37"/>
  <c r="D99" i="37"/>
  <c r="D91" i="37"/>
  <c r="D51" i="37"/>
  <c r="D96" i="37"/>
  <c r="D89" i="37"/>
  <c r="D204" i="37"/>
  <c r="D340" i="37"/>
  <c r="D107" i="37"/>
  <c r="D117" i="37"/>
  <c r="D352" i="37"/>
  <c r="D140" i="37"/>
  <c r="D206" i="37"/>
  <c r="D311" i="37"/>
  <c r="D215" i="37"/>
  <c r="D81" i="37"/>
  <c r="D150" i="37"/>
  <c r="D298" i="37"/>
  <c r="D9" i="37"/>
  <c r="D3" i="37"/>
  <c r="D303" i="37"/>
  <c r="D60" i="37"/>
  <c r="D221" i="37"/>
  <c r="D138" i="37"/>
  <c r="D22" i="37"/>
  <c r="D265" i="37"/>
  <c r="D46" i="37"/>
  <c r="D58" i="37"/>
  <c r="D326" i="37"/>
  <c r="D286" i="37"/>
  <c r="D254" i="37"/>
  <c r="D319" i="37"/>
  <c r="D342" i="37"/>
  <c r="D251" i="37"/>
  <c r="D17" i="37"/>
  <c r="D67" i="37"/>
  <c r="D152" i="37"/>
  <c r="D330" i="37"/>
  <c r="D72" i="37"/>
  <c r="D245" i="37"/>
  <c r="D50" i="37"/>
  <c r="D121" i="37"/>
  <c r="D77" i="37"/>
  <c r="D243" i="37"/>
  <c r="D190" i="37"/>
  <c r="D90" i="37"/>
  <c r="D305" i="37"/>
  <c r="D341" i="37"/>
  <c r="D176" i="37"/>
  <c r="D192" i="37"/>
  <c r="D363" i="37"/>
  <c r="D28" i="37"/>
  <c r="D148" i="37"/>
  <c r="D322" i="37"/>
  <c r="D234" i="37"/>
  <c r="D329" i="37"/>
  <c r="D187" i="37"/>
  <c r="D202" i="37"/>
  <c r="D34" i="37"/>
  <c r="D75" i="37"/>
  <c r="D347" i="37"/>
  <c r="D307" i="37"/>
  <c r="D110" i="37"/>
  <c r="D198" i="37"/>
  <c r="D52" i="37"/>
  <c r="D41" i="37"/>
  <c r="D271" i="37"/>
  <c r="D236" i="37"/>
  <c r="D36" i="37"/>
  <c r="D55" i="37"/>
  <c r="D226" i="37"/>
  <c r="D253" i="37"/>
  <c r="D278" i="37"/>
  <c r="D346" i="37"/>
  <c r="D186" i="37"/>
  <c r="D293" i="37"/>
  <c r="D306" i="37"/>
  <c r="D144" i="37"/>
  <c r="D125" i="37"/>
  <c r="D337" i="37"/>
  <c r="D338" i="37"/>
  <c r="D78" i="37"/>
  <c r="D31" i="37"/>
  <c r="D21" i="37"/>
  <c r="D208" i="37"/>
  <c r="D32" i="37"/>
  <c r="D237" i="37"/>
  <c r="D328" i="37"/>
  <c r="D250" i="37"/>
  <c r="D118" i="37"/>
  <c r="D23" i="37"/>
  <c r="D92" i="37"/>
  <c r="D273" i="37"/>
  <c r="D134" i="37"/>
  <c r="D88" i="37"/>
  <c r="D235" i="37"/>
  <c r="D27" i="37"/>
  <c r="D194" i="37"/>
  <c r="D13" i="37"/>
  <c r="D241" i="37"/>
  <c r="D54" i="37"/>
  <c r="D146" i="37"/>
  <c r="D141" i="37"/>
  <c r="D30" i="37"/>
  <c r="D219" i="37"/>
  <c r="D133" i="37"/>
  <c r="D149" i="37"/>
  <c r="D213" i="37"/>
  <c r="D102" i="37"/>
  <c r="D160" i="37"/>
  <c r="D5" i="37"/>
  <c r="D189" i="37"/>
  <c r="D16" i="37"/>
  <c r="D230" i="37"/>
  <c r="D29" i="37"/>
  <c r="D124" i="37"/>
  <c r="D310" i="37"/>
  <c r="D266" i="37"/>
  <c r="D167" i="37"/>
  <c r="D56" i="37"/>
  <c r="D131" i="37"/>
  <c r="D137" i="37"/>
  <c r="D299" i="37"/>
  <c r="D53" i="37"/>
  <c r="D182" i="37"/>
  <c r="D218" i="37"/>
  <c r="D178" i="37"/>
  <c r="D71" i="37"/>
  <c r="D300" i="37"/>
  <c r="D324" i="37"/>
  <c r="D304" i="37"/>
  <c r="D214" i="37"/>
  <c r="D101" i="37"/>
  <c r="D170" i="37"/>
  <c r="D7" i="37"/>
  <c r="D292" i="37"/>
  <c r="D246" i="37"/>
  <c r="D68" i="37"/>
  <c r="D132" i="37"/>
  <c r="D11" i="37"/>
  <c r="D49" i="37"/>
  <c r="D120" i="37"/>
  <c r="D164" i="37"/>
  <c r="D180" i="37"/>
  <c r="D38" i="37"/>
  <c r="D143" i="37"/>
  <c r="D217" i="37"/>
  <c r="D165" i="37"/>
  <c r="D336" i="37"/>
  <c r="D297" i="37"/>
  <c r="D325" i="37"/>
  <c r="D285" i="37"/>
  <c r="D14" i="37"/>
  <c r="D228" i="37"/>
  <c r="D272" i="37"/>
  <c r="D335" i="37"/>
  <c r="D18" i="37"/>
  <c r="D227" i="37"/>
  <c r="D111" i="37"/>
  <c r="D279" i="37"/>
  <c r="D161" i="37"/>
  <c r="D185" i="37"/>
  <c r="D203" i="37"/>
  <c r="D294" i="37"/>
  <c r="D308" i="37"/>
  <c r="D258" i="37"/>
  <c r="D25" i="37"/>
  <c r="D296" i="37"/>
  <c r="D263" i="37"/>
  <c r="D289" i="37"/>
  <c r="D115" i="37"/>
  <c r="D323" i="37"/>
  <c r="D168" i="37"/>
  <c r="D314" i="37"/>
  <c r="D222" i="37"/>
  <c r="D64" i="37"/>
  <c r="D80" i="37"/>
  <c r="D179" i="37"/>
  <c r="D332" i="37"/>
  <c r="D223" i="37"/>
  <c r="D147" i="37"/>
  <c r="D343" i="37"/>
  <c r="D333" i="37"/>
  <c r="D287" i="37"/>
  <c r="D284" i="37"/>
  <c r="D136" i="37"/>
  <c r="D122" i="37"/>
  <c r="D210" i="37"/>
  <c r="D156" i="37"/>
  <c r="D209" i="37"/>
  <c r="D207" i="37"/>
  <c r="D57" i="37"/>
  <c r="D15" i="37"/>
  <c r="D345" i="37"/>
  <c r="D353" i="37"/>
  <c r="D105" i="37"/>
  <c r="D135" i="37"/>
  <c r="D2" i="37"/>
  <c r="D62" i="37"/>
  <c r="D100" i="37"/>
  <c r="D155" i="37"/>
  <c r="D104" i="37"/>
  <c r="D73" i="37"/>
  <c r="D129" i="37"/>
  <c r="D113" i="37"/>
  <c r="D106" i="37"/>
  <c r="D119" i="37"/>
  <c r="D295" i="37"/>
  <c r="D364" i="37"/>
  <c r="D288" i="37"/>
  <c r="D344" i="37"/>
  <c r="D87" i="37"/>
  <c r="D69" i="37"/>
  <c r="D359" i="37"/>
  <c r="D269" i="37"/>
  <c r="D317" i="37"/>
  <c r="D354" i="37"/>
  <c r="D154" i="37"/>
  <c r="D33" i="37"/>
  <c r="D65" i="37"/>
  <c r="D26" i="37"/>
  <c r="D334" i="37"/>
  <c r="D320" i="37"/>
  <c r="D47" i="37"/>
  <c r="D83" i="37"/>
  <c r="D244" i="37"/>
  <c r="D301" i="37"/>
  <c r="D44" i="37"/>
  <c r="D95" i="37"/>
  <c r="D238" i="37"/>
  <c r="D193" i="37"/>
  <c r="D267" i="37"/>
  <c r="D255" i="37"/>
  <c r="D158" i="37"/>
  <c r="D205" i="37"/>
  <c r="D183" i="37"/>
  <c r="D145" i="37"/>
  <c r="D262" i="37"/>
  <c r="D98" i="37"/>
  <c r="D20" i="37"/>
  <c r="D48" i="37"/>
  <c r="D197" i="37"/>
  <c r="D162" i="37"/>
  <c r="D39" i="37"/>
  <c r="D261" i="37"/>
  <c r="D108" i="37"/>
  <c r="D365" i="37"/>
  <c r="D280" i="37"/>
  <c r="D172" i="37"/>
  <c r="D173" i="37"/>
  <c r="D275" i="37"/>
  <c r="D331" i="37"/>
  <c r="D171" i="37"/>
  <c r="D242" i="37"/>
  <c r="D159" i="37"/>
  <c r="D82" i="37"/>
  <c r="D313" i="37"/>
  <c r="D257" i="37"/>
  <c r="D315" i="37"/>
  <c r="D112" i="37"/>
  <c r="D114" i="37"/>
  <c r="D130" i="37"/>
  <c r="D357" i="37"/>
  <c r="D175" i="37"/>
  <c r="D216" i="37"/>
  <c r="D339" i="37"/>
  <c r="D200" i="37"/>
  <c r="D351" i="37"/>
  <c r="D240" i="37"/>
  <c r="D199" i="37"/>
  <c r="D309" i="37"/>
  <c r="D268" i="37"/>
  <c r="D163" i="37"/>
  <c r="D362" i="37"/>
  <c r="D174" i="37"/>
  <c r="D211" i="37"/>
  <c r="D126" i="37"/>
  <c r="D103" i="37"/>
  <c r="D248" i="37"/>
  <c r="D40" i="37"/>
  <c r="D42" i="37"/>
  <c r="D74" i="37"/>
  <c r="D260" i="37"/>
  <c r="D157" i="37"/>
  <c r="D66" i="37"/>
  <c r="D127" i="37"/>
  <c r="D43" i="37"/>
  <c r="D84" i="37"/>
  <c r="D4" i="37"/>
  <c r="D24" i="37"/>
  <c r="D37" i="37"/>
  <c r="D232" i="37"/>
  <c r="D252" i="37"/>
  <c r="D128" i="37"/>
  <c r="D231" i="37"/>
  <c r="D277" i="37"/>
  <c r="D366" i="37"/>
  <c r="D360" i="37"/>
  <c r="D327" i="37"/>
  <c r="D6" i="37"/>
  <c r="D247" i="37"/>
  <c r="D93" i="37"/>
  <c r="D191" i="37"/>
  <c r="D290" i="37"/>
  <c r="D212" i="37"/>
  <c r="D10" i="37"/>
  <c r="D274" i="37"/>
  <c r="D283" i="37"/>
  <c r="D151" i="37"/>
  <c r="D59" i="37"/>
  <c r="D356" i="37"/>
  <c r="D153" i="37"/>
  <c r="D61" i="37"/>
  <c r="D86" i="37"/>
  <c r="D139" i="37"/>
  <c r="D249" i="37"/>
  <c r="D281" i="37"/>
  <c r="D79" i="37"/>
  <c r="D350" i="37"/>
  <c r="D225" i="37"/>
  <c r="D184" i="37"/>
  <c r="D229" i="37"/>
  <c r="D321" i="37"/>
  <c r="D70" i="37"/>
  <c r="D355" i="37"/>
  <c r="D264" i="37"/>
  <c r="D116" i="37"/>
  <c r="D282" i="37"/>
  <c r="D63" i="37"/>
  <c r="D220" i="37"/>
  <c r="D142" i="37"/>
  <c r="D239" i="37"/>
  <c r="D358" i="37"/>
  <c r="D109" i="37"/>
  <c r="D291" i="37"/>
  <c r="D177" i="37"/>
  <c r="D169" i="37"/>
  <c r="D256" i="37"/>
  <c r="D316" i="37"/>
  <c r="D45" i="37"/>
  <c r="D94" i="37"/>
  <c r="D233" i="37"/>
  <c r="D270" i="37"/>
  <c r="D123" i="37"/>
  <c r="D276" i="37"/>
  <c r="D318" i="37"/>
  <c r="D312" i="37"/>
  <c r="D8" i="37"/>
  <c r="D181" i="37"/>
  <c r="D35" i="37"/>
  <c r="D348" i="37"/>
  <c r="D196" i="37"/>
  <c r="D76" i="37"/>
  <c r="D195" i="37"/>
  <c r="D188" i="37"/>
  <c r="D201" i="37"/>
  <c r="D97" i="37"/>
  <c r="D349" i="37"/>
  <c r="D19" i="37"/>
  <c r="D361" i="37"/>
  <c r="D302" i="37"/>
  <c r="D224" i="37"/>
  <c r="D259" i="37"/>
  <c r="D12" i="37"/>
  <c r="C2" i="38" l="1"/>
  <c r="C4" i="38"/>
  <c r="C13" i="38"/>
  <c r="C12" i="38"/>
  <c r="C9" i="38"/>
  <c r="C5" i="38"/>
  <c r="C10" i="38"/>
  <c r="C7" i="38"/>
  <c r="C8" i="38"/>
  <c r="C11" i="38"/>
  <c r="C3" i="38"/>
  <c r="C6" i="38"/>
</calcChain>
</file>

<file path=xl/sharedStrings.xml><?xml version="1.0" encoding="utf-8"?>
<sst xmlns="http://schemas.openxmlformats.org/spreadsheetml/2006/main" count="2089" uniqueCount="54">
  <si>
    <t>A</t>
  </si>
  <si>
    <t>B</t>
  </si>
  <si>
    <t>GALV-DX51D+Z275-M-A-CE</t>
  </si>
  <si>
    <t>C</t>
  </si>
  <si>
    <t>NOIR-AMSTRONG355MC-U</t>
  </si>
  <si>
    <t>NOIR-S355MC CAT.A-U</t>
  </si>
  <si>
    <t>NOIR-S235JR+N-CAT_A-HB3-U</t>
  </si>
  <si>
    <t>NOIR-S235JR+N-CAT_A-U</t>
  </si>
  <si>
    <t>LCN-AMSTRONGULT700MCT-HB3-U</t>
  </si>
  <si>
    <t>LARME-T-NOIR-S235JR+AR-CAT_A-T1-U</t>
  </si>
  <si>
    <t>NOIR-S355J2+N-CAT_A-U</t>
  </si>
  <si>
    <t>NOIR-S355JR+AR-U</t>
  </si>
  <si>
    <t>NOIR-S235JR+AR-CAT_A-U</t>
  </si>
  <si>
    <t>NOIR-S355J2+N-CAT_A-HB3-U</t>
  </si>
  <si>
    <t>DKP-AMSTRONG355MC-O</t>
  </si>
  <si>
    <t>NOIR-AC-RM&lt;500MPA</t>
  </si>
  <si>
    <t>NOIR-S355MC-U</t>
  </si>
  <si>
    <t>DKP-S355MC-O</t>
  </si>
  <si>
    <t>DKP-DD11-O</t>
  </si>
  <si>
    <t>NOIR-S235JR+N-U</t>
  </si>
  <si>
    <t>NOIR-AMSTRONG355MC-HB3-U</t>
  </si>
  <si>
    <t>NOIR-DURABOR_30MNB5-U</t>
  </si>
  <si>
    <t>NOIR-AMSTRONG460MC-U</t>
  </si>
  <si>
    <t>DKP-DD12-O</t>
  </si>
  <si>
    <t>DKP-S235JR+N-O</t>
  </si>
  <si>
    <t>NOIR-S235JR+AR-U</t>
  </si>
  <si>
    <t>DKP-S500MC-O</t>
  </si>
  <si>
    <t>DKP-S235JR+AR-O</t>
  </si>
  <si>
    <t>NOIR-S420MC CAT.A-U</t>
  </si>
  <si>
    <t>NOIR-S700MC-U</t>
  </si>
  <si>
    <t>NOIR-S355J2C+N-CAT_A-HB3-U</t>
  </si>
  <si>
    <t>NOIR-S355J2+N-U</t>
  </si>
  <si>
    <t>DKP-S355JR+AR-O</t>
  </si>
  <si>
    <t>DKP-S355J2W+N-O</t>
  </si>
  <si>
    <t>NOIR-S355J2W+N-U</t>
  </si>
  <si>
    <t>FirstLane</t>
  </si>
  <si>
    <t>SecondLine</t>
  </si>
  <si>
    <t>ThirdLine</t>
  </si>
  <si>
    <t>Param1</t>
  </si>
  <si>
    <t>Param2</t>
  </si>
  <si>
    <t>Param3</t>
  </si>
  <si>
    <t>Param4</t>
  </si>
  <si>
    <t>ProductId</t>
  </si>
  <si>
    <t>Client</t>
  </si>
  <si>
    <t>TypeClient</t>
  </si>
  <si>
    <t>FirstType</t>
  </si>
  <si>
    <t>SecondType</t>
  </si>
  <si>
    <t>ThirdType</t>
  </si>
  <si>
    <t>FirstClient</t>
  </si>
  <si>
    <t>ThirdClient</t>
  </si>
  <si>
    <t>SecondClient</t>
  </si>
  <si>
    <t>Shift</t>
  </si>
  <si>
    <t>Month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</si>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</sst>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7">
    <numFmt numFmtId="164" formatCode="_(* #,##0_);_(* \(#,##0\);_(* &quot;-&quot;_);_(@_)"/>
    <numFmt numFmtId="165" formatCode="_(&quot;zł&quot;* #,##0.00_);_(&quot;zł&quot;* \(#,##0.00\);_(&quot;zł&quot;* &quot;-&quot;??_);_(@_)"/>
    <numFmt numFmtId="166" formatCode="_(* #,##0.00_);_(* \(#,##0.00\);_(* &quot;-&quot;??_);_(@_)"/>
    <numFmt numFmtId="167" formatCode="0.0"/>
    <numFmt numFmtId="168" formatCode="_-* #,##0.00\ _z_ł_-;\-* #,##0.00\ _z_ł_-;_-* &quot;-&quot;??\ _z_ł_-;_-@_-"/>
    <numFmt numFmtId="169" formatCode="0.0%"/>
    <numFmt numFmtId="170" formatCode="[$-809]mmm\-yy"/>
    <numFmt numFmtId="171" formatCode="#,##0\ &quot;F&quot;;[Red]\-#,##0\ &quot;F&quot;"/>
    <numFmt numFmtId="172" formatCode="#,##0.0"/>
    <numFmt numFmtId="173" formatCode="&quot;Rp.&quot;#,##0.00_);[Red]\(&quot;Rp.&quot;#,##0.00\)"/>
    <numFmt numFmtId="174" formatCode="&quot;$&quot;#,##0_);\(&quot;$&quot;#,##0\)"/>
    <numFmt numFmtId="175" formatCode="\A&quot;$&quot;#,##0_);\(\A&quot;$&quot;#,##0\)"/>
    <numFmt numFmtId="176" formatCode="0.0000"/>
    <numFmt numFmtId="177" formatCode="#,##0.0000"/>
    <numFmt numFmtId="178" formatCode="###\ ###\ ####"/>
    <numFmt numFmtId="179" formatCode="####\ ####\ ##"/>
    <numFmt numFmtId="180" formatCode="&quot;$&quot;* #,##0.00000_);&quot;$&quot;* \(#,##0.00000\)"/>
    <numFmt numFmtId="181" formatCode="\$#,##0.00;[Red]\-\$#,##0.00"/>
    <numFmt numFmtId="182" formatCode="&quot;$&quot;#,##0\ ;\(&quot;$&quot;#,##0\)"/>
    <numFmt numFmtId="183" formatCode="#,##0.0_);\(#,##0.0\)"/>
    <numFmt numFmtId="184" formatCode="_(* #,##0_);_(* \(#,##0\);_(* &quot;-&quot;??_);_(@_)"/>
    <numFmt numFmtId="185" formatCode="#,##0;[Red]\(#,##0\)"/>
    <numFmt numFmtId="186" formatCode="#,##0.0;[Red]\(#,##0.0\)"/>
    <numFmt numFmtId="187" formatCode="&quot;$&quot;#,##0.00_);\(&quot;$&quot;#,##0.00\)"/>
    <numFmt numFmtId="188" formatCode="&quot;$&quot;#,##0_);[Red]\(&quot;$&quot;#,##0\)"/>
    <numFmt numFmtId="189" formatCode="&quot;$&quot;#,##0.00_);[Red]\(&quot;$&quot;#,##0.00\)"/>
    <numFmt numFmtId="190" formatCode="_(* #,##0.0_);_(* \(#,##0.0\);_(* &quot;-&quot;??_);_(@_)"/>
    <numFmt numFmtId="191" formatCode="General_)"/>
    <numFmt numFmtId="192" formatCode="_-* #,##0\ _z_l_-;\-* #,##0\ _z_l_-;_-* &quot;-&quot;\ _z_l_-;_-@_-"/>
    <numFmt numFmtId="193" formatCode="_-* #,##0.00\ _z_l_-;\-* #,##0.00\ _z_l_-;_-* &quot;-&quot;??\ _z_l_-;_-@_-"/>
    <numFmt numFmtId="194" formatCode="#,##0.0_)&quot; pts.&quot;;\(#,##0.0\)&quot; pts.&quot;"/>
    <numFmt numFmtId="195" formatCode="&quot;$&quot;#,##0;[Red]&quot;$&quot;#,##0"/>
    <numFmt numFmtId="196" formatCode="0.000%;[Red]\-0.000%"/>
    <numFmt numFmtId="197" formatCode="_-* #,##0.00\ &quot;€&quot;_-;\-* #,##0.00\ &quot;€&quot;_-;_-* &quot;-&quot;??\ &quot;€&quot;_-;_-@_-"/>
    <numFmt numFmtId="198" formatCode="_-* #,##0.0_-;\-* #,##0.0_-;_-* &quot;-&quot;??_-;_-@_-"/>
    <numFmt numFmtId="199" formatCode="#,##0.00&quot; $&quot;;\-#,##0.00&quot; $&quot;"/>
    <numFmt numFmtId="200" formatCode="_-* #,##0\ _F_-;\-* #,##0\ _F_-;_-* &quot;-&quot;\ _F_-;_-@_-"/>
    <numFmt numFmtId="201" formatCode="_-* #,##0.00\ _F_-;\-* #,##0.00\ _F_-;_-* &quot;-&quot;??\ _F_-;_-@_-"/>
    <numFmt numFmtId="202" formatCode="#,##0.00;\-#,##0.00;&quot;&quot;"/>
    <numFmt numFmtId="203" formatCode="#,##0;\-#,##0;&quot; &quot;"/>
    <numFmt numFmtId="204" formatCode="_-* #,##0.00\ &quot;Kč&quot;_-;\-* #,##0.00\ &quot;Kč&quot;_-;_-* &quot;-&quot;??\ &quot;Kč&quot;_-;_-@_-"/>
    <numFmt numFmtId="205" formatCode="_(&quot;$&quot;* #,##0_);_(&quot;$&quot;* \(#,##0\);_(&quot;$&quot;* &quot;-&quot;_);_(@_)"/>
    <numFmt numFmtId="206" formatCode="_(&quot;$&quot;* #,##0.00_);_(&quot;$&quot;* \(#,##0.00\);_(&quot;$&quot;* &quot;-&quot;??_);_(@_)"/>
    <numFmt numFmtId="207" formatCode="_-* #,##0\ &quot;F&quot;_-;\-* #,##0\ &quot;F&quot;_-;_-* &quot;-&quot;\ &quot;F&quot;_-;_-@_-"/>
    <numFmt numFmtId="208" formatCode="_-* #,##0.00\ &quot;F&quot;_-;\-* #,##0.00\ &quot;F&quot;_-;_-* &quot;-&quot;??\ &quot;F&quot;_-;_-@_-"/>
    <numFmt numFmtId="209" formatCode="\ &quot;$&quot;\ #,##0.0_);\ &quot;$&quot;\ \(#,##0.0\)"/>
    <numFmt numFmtId="210" formatCode="&quot;$&quot;#,##0&quot; / KWH&quot;"/>
    <numFmt numFmtId="211" formatCode="0.0%;\(0.0%\)"/>
    <numFmt numFmtId="212" formatCode="mm/dd/yy"/>
    <numFmt numFmtId="213" formatCode="_(* #,##0.0_);_(* \(#,##0.0\);_(* &quot;-&quot;?_);_(@_)"/>
    <numFmt numFmtId="214" formatCode="_-* #,##0.00\ _€_-;\-* #,##0.00\ _€_-;_-* &quot;-&quot;??\ _€_-;_-@_-"/>
    <numFmt numFmtId="215" formatCode="#,##0.0;\(#,##0.0\);&quot;- &quot;"/>
    <numFmt numFmtId="216" formatCode="#,##0.0\ ;\(#,##0.0\);&quot;- &quot;"/>
    <numFmt numFmtId="217" formatCode="_-&quot;£&quot;* #,##0_-;\-&quot;£&quot;* #,##0_-;_-&quot;£&quot;* &quot;-&quot;_-;_-@_-"/>
    <numFmt numFmtId="218" formatCode="0&quot; Employees&quot;"/>
    <numFmt numFmtId="219" formatCode="#,##0.0;[Red]&quot;-&quot;#,##0.0"/>
    <numFmt numFmtId="220" formatCode="_-* #,##0.00\ _z_ł_-;\-* #,##0.00\ _z_ł_-;_-* \-??\ _z_ł_-;_-@_-"/>
  </numFmts>
  <fonts count="210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2"/>
      <name val="Arial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sz val="10"/>
      <color rgb="FF000000"/>
      <name val="Arimo"/>
    </font>
    <font>
      <sz val="11"/>
      <color indexed="8"/>
      <name val="Calibri"/>
      <family val="2"/>
      <charset val="238"/>
    </font>
    <font>
      <sz val="10"/>
      <name val="Arial"/>
      <family val="2"/>
      <charset val="238"/>
    </font>
    <font>
      <sz val="10"/>
      <name val="Arial CE"/>
      <charset val="238"/>
    </font>
    <font>
      <sz val="10"/>
      <name val="Times New Roman"/>
      <family val="1"/>
      <charset val="238"/>
    </font>
    <font>
      <b/>
      <sz val="11"/>
      <color indexed="8"/>
      <name val="Calibri"/>
      <family val="2"/>
      <charset val="238"/>
    </font>
    <font>
      <sz val="11"/>
      <color theme="1"/>
      <name val="Czcionka tekstu podstawowego"/>
      <family val="2"/>
      <charset val="238"/>
    </font>
    <font>
      <sz val="10"/>
      <name val="Book Antiqua"/>
      <family val="1"/>
      <charset val="238"/>
    </font>
    <font>
      <sz val="10"/>
      <color indexed="8"/>
      <name val="MS Sans Serif"/>
      <family val="2"/>
      <charset val="238"/>
    </font>
    <font>
      <u/>
      <sz val="8.4"/>
      <color indexed="12"/>
      <name val="Arial"/>
      <family val="2"/>
    </font>
    <font>
      <sz val="12"/>
      <name val="???"/>
      <family val="1"/>
      <charset val="129"/>
    </font>
    <font>
      <sz val="11"/>
      <name val="‚l‚r –?’©"/>
      <charset val="128"/>
    </font>
    <font>
      <sz val="10"/>
      <name val="Helv"/>
    </font>
    <font>
      <sz val="10"/>
      <name val="Helv"/>
      <charset val="238"/>
    </font>
    <font>
      <sz val="11"/>
      <color indexed="8"/>
      <name val="Calibri"/>
      <family val="2"/>
    </font>
    <font>
      <sz val="11"/>
      <color indexed="8"/>
      <name val="Calibri"/>
      <family val="2"/>
      <charset val="186"/>
    </font>
    <font>
      <sz val="11"/>
      <color indexed="8"/>
      <name val="Czcionka tekstu podstawowego"/>
      <family val="2"/>
      <charset val="238"/>
    </font>
    <font>
      <sz val="11"/>
      <color indexed="9"/>
      <name val="Calibri"/>
      <family val="2"/>
      <charset val="238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sz val="11"/>
      <color indexed="9"/>
      <name val="Czcionka tekstu podstawowego"/>
      <family val="2"/>
      <charset val="238"/>
    </font>
    <font>
      <sz val="8"/>
      <name val="Times New Roman"/>
      <family val="1"/>
      <charset val="238"/>
    </font>
    <font>
      <b/>
      <sz val="11"/>
      <color indexed="63"/>
      <name val="Calibri"/>
      <family val="2"/>
    </font>
    <font>
      <b/>
      <sz val="11"/>
      <color indexed="63"/>
      <name val="Calibri"/>
      <family val="2"/>
      <charset val="238"/>
    </font>
    <font>
      <sz val="11"/>
      <color indexed="10"/>
      <name val="Calibri"/>
      <family val="2"/>
    </font>
    <font>
      <sz val="11"/>
      <color indexed="10"/>
      <name val="Calibri"/>
      <family val="2"/>
      <charset val="238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238"/>
    </font>
    <font>
      <sz val="11"/>
      <color indexed="62"/>
      <name val="Calibri"/>
      <family val="2"/>
      <charset val="238"/>
    </font>
    <font>
      <sz val="12"/>
      <name val="Tms Rmn"/>
    </font>
    <font>
      <sz val="12"/>
      <name val="Tms Rmn"/>
      <charset val="238"/>
    </font>
    <font>
      <b/>
      <sz val="10"/>
      <name val="MS Sans Serif"/>
      <family val="2"/>
      <charset val="238"/>
    </font>
    <font>
      <sz val="11"/>
      <color indexed="17"/>
      <name val="Calibri"/>
      <family val="2"/>
    </font>
    <font>
      <sz val="11"/>
      <color indexed="17"/>
      <name val="Calibri"/>
      <family val="2"/>
      <charset val="238"/>
    </font>
    <font>
      <b/>
      <sz val="11"/>
      <color indexed="52"/>
      <name val="Calibri"/>
      <family val="2"/>
      <charset val="186"/>
    </font>
    <font>
      <b/>
      <sz val="10"/>
      <name val="Helv"/>
    </font>
    <font>
      <b/>
      <sz val="10"/>
      <name val="Helv"/>
      <charset val="238"/>
    </font>
    <font>
      <sz val="8"/>
      <name val="Arial"/>
      <family val="2"/>
    </font>
    <font>
      <sz val="11"/>
      <color indexed="52"/>
      <name val="Calibri"/>
      <family val="2"/>
    </font>
    <font>
      <sz val="11"/>
      <color indexed="52"/>
      <name val="Calibri"/>
      <family val="2"/>
      <charset val="238"/>
    </font>
    <font>
      <b/>
      <sz val="11"/>
      <color indexed="9"/>
      <name val="Calibri"/>
      <family val="2"/>
      <charset val="186"/>
    </font>
    <font>
      <sz val="11"/>
      <color indexed="20"/>
      <name val="Calibri"/>
      <family val="2"/>
      <charset val="238"/>
    </font>
    <font>
      <b/>
      <sz val="18"/>
      <color indexed="56"/>
      <name val="Cambria"/>
      <family val="2"/>
      <charset val="238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b/>
      <sz val="8"/>
      <name val="Arial"/>
      <family val="2"/>
    </font>
    <font>
      <b/>
      <sz val="8"/>
      <name val="Arial"/>
      <family val="2"/>
      <charset val="238"/>
    </font>
    <font>
      <sz val="10"/>
      <name val="Comic Sans MS"/>
      <family val="4"/>
      <charset val="238"/>
    </font>
    <font>
      <sz val="10"/>
      <name val="Arial"/>
      <family val="2"/>
    </font>
    <font>
      <sz val="10"/>
      <name val="MS Serif"/>
      <family val="1"/>
      <charset val="238"/>
    </font>
    <font>
      <sz val="8"/>
      <name val="Arial"/>
      <family val="2"/>
      <charset val="238"/>
    </font>
    <font>
      <b/>
      <u/>
      <sz val="8"/>
      <name val="Arial"/>
      <family val="2"/>
    </font>
    <font>
      <b/>
      <u/>
      <sz val="8"/>
      <name val="Arial"/>
      <family val="2"/>
      <charset val="238"/>
    </font>
    <font>
      <sz val="11"/>
      <color indexed="20"/>
      <name val="Calibri"/>
      <family val="2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9"/>
      <name val="Arial"/>
      <family val="2"/>
    </font>
    <font>
      <b/>
      <shadow/>
      <sz val="10"/>
      <color indexed="8"/>
      <name val="Arial"/>
      <family val="2"/>
    </font>
    <font>
      <b/>
      <sz val="10"/>
      <name val="Arial"/>
      <family val="2"/>
    </font>
    <font>
      <b/>
      <shadow/>
      <sz val="12"/>
      <color indexed="8"/>
      <name val="Arial"/>
      <family val="2"/>
    </font>
    <font>
      <shadow/>
      <sz val="10"/>
      <color indexed="8"/>
      <name val="Arial"/>
      <family val="2"/>
    </font>
    <font>
      <sz val="11"/>
      <name val="??"/>
      <family val="3"/>
      <charset val="129"/>
    </font>
    <font>
      <sz val="10"/>
      <color indexed="8"/>
      <name val="Arial"/>
      <family val="2"/>
    </font>
    <font>
      <b/>
      <sz val="10"/>
      <name val="Times New Roman"/>
      <family val="1"/>
    </font>
    <font>
      <sz val="11"/>
      <color indexed="17"/>
      <name val="Czcionka tekstu podstawowego"/>
      <family val="2"/>
      <charset val="238"/>
    </font>
    <font>
      <i/>
      <sz val="10"/>
      <name val="Arial"/>
      <family val="2"/>
      <charset val="238"/>
    </font>
    <font>
      <sz val="11"/>
      <color indexed="62"/>
      <name val="Calibri"/>
      <family val="2"/>
    </font>
    <font>
      <b/>
      <sz val="11"/>
      <color indexed="9"/>
      <name val="Calibri"/>
      <family val="2"/>
      <charset val="238"/>
    </font>
    <font>
      <b/>
      <sz val="11"/>
      <color indexed="8"/>
      <name val="Calibri"/>
      <family val="2"/>
    </font>
    <font>
      <sz val="10"/>
      <color indexed="16"/>
      <name val="MS Serif"/>
      <family val="1"/>
      <charset val="238"/>
    </font>
    <font>
      <b/>
      <sz val="8"/>
      <name val="Helv"/>
    </font>
    <font>
      <b/>
      <shadow/>
      <sz val="10"/>
      <color indexed="8"/>
      <name val="Arial"/>
      <family val="2"/>
      <charset val="238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238"/>
    </font>
    <font>
      <i/>
      <sz val="11"/>
      <color indexed="23"/>
      <name val="Calibri"/>
      <family val="2"/>
      <charset val="186"/>
    </font>
    <font>
      <sz val="18"/>
      <name val="Times New Roman"/>
      <family val="1"/>
      <charset val="238"/>
    </font>
    <font>
      <i/>
      <sz val="12"/>
      <name val="Times New Roman"/>
      <family val="1"/>
      <charset val="238"/>
    </font>
    <font>
      <sz val="12"/>
      <name val="Arial"/>
      <family val="2"/>
      <charset val="238"/>
    </font>
    <font>
      <sz val="18"/>
      <name val="Arial"/>
      <family val="2"/>
      <charset val="238"/>
    </font>
    <font>
      <i/>
      <sz val="12"/>
      <name val="Arial"/>
      <family val="2"/>
      <charset val="238"/>
    </font>
    <font>
      <sz val="12"/>
      <color indexed="9"/>
      <name val="Arial"/>
      <family val="2"/>
      <charset val="238"/>
    </font>
    <font>
      <sz val="8"/>
      <name val="Helv"/>
    </font>
    <font>
      <sz val="8"/>
      <name val="Helv"/>
      <charset val="238"/>
    </font>
    <font>
      <sz val="11"/>
      <color indexed="17"/>
      <name val="Calibri"/>
      <family val="2"/>
      <charset val="186"/>
    </font>
    <font>
      <b/>
      <sz val="12"/>
      <color indexed="10"/>
      <name val="Arial"/>
      <family val="2"/>
      <charset val="238"/>
    </font>
    <font>
      <b/>
      <u/>
      <sz val="11"/>
      <color indexed="37"/>
      <name val="Arial"/>
      <family val="2"/>
    </font>
    <font>
      <b/>
      <u/>
      <sz val="11"/>
      <color indexed="37"/>
      <name val="Arial"/>
      <family val="2"/>
      <charset val="238"/>
    </font>
    <font>
      <b/>
      <sz val="12"/>
      <name val="Arial"/>
      <family val="2"/>
    </font>
    <font>
      <b/>
      <sz val="15"/>
      <color indexed="62"/>
      <name val="Calibri"/>
      <family val="2"/>
      <charset val="186"/>
    </font>
    <font>
      <b/>
      <sz val="13"/>
      <color indexed="62"/>
      <name val="Calibri"/>
      <family val="2"/>
      <charset val="186"/>
    </font>
    <font>
      <b/>
      <sz val="11"/>
      <color indexed="62"/>
      <name val="Calibri"/>
      <family val="2"/>
      <charset val="186"/>
    </font>
    <font>
      <b/>
      <sz val="8"/>
      <name val="MS Sans Serif"/>
      <family val="2"/>
      <charset val="238"/>
    </font>
    <font>
      <sz val="10"/>
      <color indexed="12"/>
      <name val="Arial"/>
      <family val="2"/>
    </font>
    <font>
      <sz val="10"/>
      <color indexed="12"/>
      <name val="Arial"/>
      <family val="2"/>
      <charset val="238"/>
    </font>
    <font>
      <u/>
      <sz val="10"/>
      <color indexed="12"/>
      <name val="Arial CE"/>
      <charset val="238"/>
    </font>
    <font>
      <u/>
      <sz val="10"/>
      <color theme="10"/>
      <name val="Arial"/>
      <family val="2"/>
      <charset val="238"/>
    </font>
    <font>
      <u/>
      <sz val="10"/>
      <color indexed="12"/>
      <name val="Arial"/>
      <family val="2"/>
      <charset val="238"/>
    </font>
    <font>
      <u/>
      <sz val="10"/>
      <color indexed="12"/>
      <name val="Arial"/>
      <family val="2"/>
    </font>
    <font>
      <u/>
      <sz val="10"/>
      <color indexed="12"/>
      <name val="Trebuchet MS"/>
      <family val="2"/>
      <charset val="238"/>
    </font>
    <font>
      <sz val="9"/>
      <name val="Arial"/>
      <family val="2"/>
      <charset val="238"/>
    </font>
    <font>
      <sz val="9"/>
      <color indexed="55"/>
      <name val="Arial"/>
      <family val="2"/>
    </font>
    <font>
      <sz val="11"/>
      <color indexed="62"/>
      <name val="Calibri"/>
      <family val="2"/>
      <charset val="186"/>
    </font>
    <font>
      <sz val="12"/>
      <name val="Helv"/>
    </font>
    <font>
      <sz val="11"/>
      <color indexed="52"/>
      <name val="Czcionka tekstu podstawowego"/>
      <family val="2"/>
      <charset val="238"/>
    </font>
    <font>
      <b/>
      <sz val="11"/>
      <color indexed="9"/>
      <name val="Czcionka tekstu podstawowego"/>
      <family val="2"/>
      <charset val="238"/>
    </font>
    <font>
      <b/>
      <sz val="11"/>
      <color indexed="9"/>
      <name val="Calibri"/>
      <family val="2"/>
    </font>
    <font>
      <sz val="12"/>
      <name val="Arial"/>
      <family val="2"/>
    </font>
    <font>
      <u/>
      <sz val="8.4"/>
      <color indexed="12"/>
      <name val="Arial"/>
      <family val="2"/>
      <charset val="238"/>
    </font>
    <font>
      <sz val="11"/>
      <color indexed="52"/>
      <name val="Calibri"/>
      <family val="2"/>
      <charset val="186"/>
    </font>
    <font>
      <b/>
      <sz val="11"/>
      <name val="Helv"/>
    </font>
    <font>
      <b/>
      <sz val="11"/>
      <name val="Helv"/>
      <charset val="238"/>
    </font>
    <font>
      <b/>
      <sz val="14"/>
      <color indexed="9"/>
      <name val="Times New Roman CE"/>
      <family val="1"/>
      <charset val="238"/>
    </font>
    <font>
      <b/>
      <sz val="15"/>
      <color indexed="56"/>
      <name val="Czcionka tekstu podstawowego"/>
      <family val="2"/>
      <charset val="238"/>
    </font>
    <font>
      <b/>
      <sz val="13"/>
      <color indexed="56"/>
      <name val="Czcionka tekstu podstawowego"/>
      <family val="2"/>
      <charset val="238"/>
    </font>
    <font>
      <b/>
      <sz val="11"/>
      <color indexed="56"/>
      <name val="Czcionka tekstu podstawowego"/>
      <family val="2"/>
      <charset val="238"/>
    </font>
    <font>
      <sz val="11"/>
      <color indexed="60"/>
      <name val="Calibri"/>
      <family val="2"/>
    </font>
    <font>
      <sz val="11"/>
      <color indexed="60"/>
      <name val="Calibri"/>
      <family val="2"/>
      <charset val="238"/>
    </font>
    <font>
      <sz val="11"/>
      <color indexed="60"/>
      <name val="Czcionka tekstu podstawowego"/>
      <family val="2"/>
      <charset val="238"/>
    </font>
    <font>
      <sz val="10"/>
      <name val="MS Sans Serif"/>
      <family val="2"/>
      <charset val="238"/>
    </font>
    <font>
      <sz val="7"/>
      <name val="Small Fonts"/>
      <family val="2"/>
      <charset val="238"/>
    </font>
    <font>
      <sz val="10"/>
      <name val="Courier"/>
      <family val="1"/>
      <charset val="238"/>
    </font>
    <font>
      <sz val="12"/>
      <name val="Helv"/>
      <charset val="238"/>
    </font>
    <font>
      <sz val="10"/>
      <name val="Trebuchet MS"/>
      <family val="2"/>
      <charset val="238"/>
    </font>
    <font>
      <b/>
      <sz val="11"/>
      <color indexed="52"/>
      <name val="Czcionka tekstu podstawowego"/>
      <family val="2"/>
      <charset val="238"/>
    </font>
    <font>
      <u/>
      <sz val="10"/>
      <color indexed="36"/>
      <name val="Arial CE"/>
      <charset val="238"/>
    </font>
    <font>
      <sz val="11"/>
      <name val="‚l‚r –¾’©"/>
      <charset val="128"/>
    </font>
    <font>
      <b/>
      <sz val="11"/>
      <color indexed="63"/>
      <name val="Calibri"/>
      <family val="2"/>
      <charset val="186"/>
    </font>
    <font>
      <sz val="11"/>
      <color indexed="8"/>
      <name val="Times New Roman"/>
      <family val="1"/>
    </font>
    <font>
      <b/>
      <i/>
      <sz val="10"/>
      <color indexed="9"/>
      <name val="Arial"/>
      <family val="2"/>
    </font>
    <font>
      <b/>
      <i/>
      <sz val="10"/>
      <color indexed="9"/>
      <name val="Arial"/>
      <family val="2"/>
      <charset val="238"/>
    </font>
    <font>
      <b/>
      <sz val="10"/>
      <color indexed="9"/>
      <name val="Arial"/>
      <family val="2"/>
    </font>
    <font>
      <b/>
      <sz val="10"/>
      <color indexed="9"/>
      <name val="Arial"/>
      <family val="2"/>
      <charset val="238"/>
    </font>
    <font>
      <b/>
      <i/>
      <sz val="10"/>
      <color indexed="8"/>
      <name val="Arial"/>
      <family val="2"/>
    </font>
    <font>
      <b/>
      <i/>
      <sz val="10"/>
      <color indexed="8"/>
      <name val="Arial"/>
      <family val="2"/>
      <charset val="238"/>
    </font>
    <font>
      <b/>
      <i/>
      <sz val="22"/>
      <color indexed="8"/>
      <name val="Times New Roman"/>
      <family val="1"/>
    </font>
    <font>
      <b/>
      <i/>
      <sz val="22"/>
      <color indexed="8"/>
      <name val="Times New Roman"/>
      <family val="1"/>
      <charset val="238"/>
    </font>
    <font>
      <sz val="8"/>
      <name val="Times New Roman"/>
      <family val="1"/>
    </font>
    <font>
      <u/>
      <sz val="8"/>
      <name val="Arial"/>
      <family val="2"/>
    </font>
    <font>
      <b/>
      <sz val="10"/>
      <name val="Frutiger 55 Roman"/>
      <family val="2"/>
    </font>
    <font>
      <b/>
      <sz val="10"/>
      <name val="Frutiger 55 Roman"/>
      <family val="2"/>
      <charset val="238"/>
    </font>
    <font>
      <i/>
      <sz val="9"/>
      <color indexed="23"/>
      <name val="Arial"/>
      <family val="2"/>
    </font>
    <font>
      <i/>
      <sz val="9"/>
      <color indexed="23"/>
      <name val="Arial"/>
      <family val="2"/>
      <charset val="238"/>
    </font>
    <font>
      <sz val="8"/>
      <name val="Wingdings"/>
      <charset val="2"/>
    </font>
    <font>
      <b/>
      <i/>
      <sz val="9"/>
      <color indexed="23"/>
      <name val="Arial"/>
      <family val="2"/>
    </font>
    <font>
      <b/>
      <i/>
      <sz val="9"/>
      <color indexed="23"/>
      <name val="Arial"/>
      <family val="2"/>
      <charset val="238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b/>
      <sz val="10"/>
      <color indexed="8"/>
      <name val="Arial"/>
      <family val="2"/>
      <charset val="238"/>
    </font>
    <font>
      <b/>
      <sz val="12"/>
      <color indexed="8"/>
      <name val="Arial"/>
      <family val="2"/>
      <charset val="238"/>
    </font>
    <font>
      <sz val="10"/>
      <color indexed="8"/>
      <name val="Arial"/>
      <family val="2"/>
      <charset val="238"/>
    </font>
    <font>
      <sz val="10"/>
      <color indexed="39"/>
      <name val="Arial"/>
      <family val="2"/>
    </font>
    <font>
      <sz val="19"/>
      <color indexed="48"/>
      <name val="Arial"/>
      <family val="2"/>
      <charset val="238"/>
    </font>
    <font>
      <sz val="10"/>
      <color indexed="10"/>
      <name val="Arial"/>
      <family val="2"/>
    </font>
    <font>
      <sz val="8"/>
      <name val="Tahoma"/>
      <family val="2"/>
    </font>
    <font>
      <sz val="8"/>
      <name val="Tahoma"/>
      <family val="2"/>
      <charset val="238"/>
    </font>
    <font>
      <b/>
      <sz val="18"/>
      <color indexed="62"/>
      <name val="Cambria"/>
      <family val="2"/>
    </font>
    <font>
      <b/>
      <sz val="18"/>
      <color indexed="62"/>
      <name val="Cambria"/>
      <family val="2"/>
      <charset val="238"/>
    </font>
    <font>
      <b/>
      <shadow/>
      <sz val="18"/>
      <color indexed="15"/>
      <name val="Arial"/>
      <family val="2"/>
    </font>
    <font>
      <b/>
      <shadow/>
      <sz val="18"/>
      <color indexed="15"/>
      <name val="Arial"/>
      <family val="2"/>
      <charset val="238"/>
    </font>
    <font>
      <sz val="8"/>
      <name val="MS Sans Serif"/>
      <family val="2"/>
      <charset val="238"/>
    </font>
    <font>
      <b/>
      <sz val="8"/>
      <color indexed="8"/>
      <name val="Helv"/>
    </font>
    <font>
      <b/>
      <sz val="11"/>
      <color indexed="8"/>
      <name val="Czcionka tekstu podstawowego"/>
      <family val="2"/>
      <charset val="238"/>
    </font>
    <font>
      <b/>
      <sz val="9"/>
      <name val="Tahoma"/>
      <family val="2"/>
    </font>
    <font>
      <b/>
      <sz val="9"/>
      <name val="Tahoma"/>
      <family val="2"/>
      <charset val="238"/>
    </font>
    <font>
      <i/>
      <sz val="11"/>
      <color indexed="23"/>
      <name val="Czcionka tekstu podstawowego"/>
      <family val="2"/>
      <charset val="238"/>
    </font>
    <font>
      <sz val="11"/>
      <color indexed="10"/>
      <name val="Czcionka tekstu podstawowego"/>
      <family val="2"/>
      <charset val="238"/>
    </font>
    <font>
      <b/>
      <sz val="18"/>
      <color indexed="62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9"/>
      <color indexed="12"/>
      <name val="Arial"/>
      <family val="2"/>
      <charset val="238"/>
    </font>
    <font>
      <sz val="10"/>
      <name val="Times New Roman"/>
      <family val="1"/>
    </font>
    <font>
      <sz val="8"/>
      <color indexed="12"/>
      <name val="Arial"/>
      <family val="2"/>
    </font>
    <font>
      <sz val="8"/>
      <color indexed="10"/>
      <name val="Arial Narrow"/>
      <family val="2"/>
    </font>
    <font>
      <sz val="8"/>
      <color indexed="10"/>
      <name val="Arial Narrow"/>
      <family val="2"/>
      <charset val="238"/>
    </font>
    <font>
      <sz val="11"/>
      <color indexed="10"/>
      <name val="Calibri"/>
      <family val="2"/>
      <charset val="186"/>
    </font>
    <font>
      <b/>
      <sz val="20"/>
      <name val="Times New Roman CE"/>
      <family val="1"/>
      <charset val="238"/>
    </font>
    <font>
      <sz val="11"/>
      <color indexed="20"/>
      <name val="Czcionka tekstu podstawowego"/>
      <family val="2"/>
      <charset val="238"/>
    </font>
    <font>
      <sz val="11"/>
      <color rgb="FF000000"/>
      <name val="Calibri"/>
      <family val="2"/>
      <charset val="1"/>
    </font>
  </fonts>
  <fills count="1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48"/>
        <bgColor indexed="48"/>
      </patternFill>
    </fill>
    <fill>
      <patternFill patternType="solid">
        <fgColor indexed="10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25"/>
        <bgColor indexed="25"/>
      </patternFill>
    </fill>
    <fill>
      <patternFill patternType="solid">
        <fgColor indexed="57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54"/>
      </patternFill>
    </fill>
    <fill>
      <patternFill patternType="solid">
        <fgColor indexed="23"/>
        <bgColor indexed="23"/>
      </patternFill>
    </fill>
    <fill>
      <patternFill patternType="solid">
        <fgColor indexed="49"/>
        <bgColor indexed="49"/>
      </patternFill>
    </fill>
    <fill>
      <patternFill patternType="solid">
        <f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2"/>
        <bgColor indexed="52"/>
      </patternFill>
    </fill>
    <fill>
      <patternFill patternType="solid">
        <fgColor indexed="62"/>
      </patternFill>
    </fill>
    <fill>
      <patternFill patternType="gray0625"/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15"/>
      </patternFill>
    </fill>
    <fill>
      <patternFill patternType="solid">
        <fgColor indexed="2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1"/>
        <bgColor indexed="64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0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20"/>
      </patternFill>
    </fill>
    <fill>
      <patternFill patternType="solid">
        <fgColor indexed="23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13"/>
      </patternFill>
    </fill>
    <fill>
      <patternFill patternType="solid">
        <fgColor indexed="47"/>
        <bgColor indexed="22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26"/>
        <bgColor indexed="9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2422">
    <xf numFmtId="0" fontId="0" fillId="0" borderId="0"/>
    <xf numFmtId="0" fontId="9" fillId="0" borderId="0" applyNumberFormat="0" applyFill="0" applyBorder="0" applyAlignment="0" applyProtection="0"/>
    <xf numFmtId="0" fontId="10" fillId="0" borderId="6" applyNumberFormat="0" applyFill="0" applyAlignment="0" applyProtection="0"/>
    <xf numFmtId="0" fontId="11" fillId="0" borderId="7" applyNumberFormat="0" applyFill="0" applyAlignment="0" applyProtection="0"/>
    <xf numFmtId="0" fontId="12" fillId="0" borderId="8" applyNumberFormat="0" applyFill="0" applyAlignment="0" applyProtection="0"/>
    <xf numFmtId="0" fontId="12" fillId="0" borderId="0" applyNumberFormat="0" applyFill="0" applyBorder="0" applyAlignment="0" applyProtection="0"/>
    <xf numFmtId="0" fontId="13" fillId="2" borderId="0" applyNumberFormat="0" applyBorder="0" applyAlignment="0" applyProtection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9" applyNumberFormat="0" applyAlignment="0" applyProtection="0"/>
    <xf numFmtId="0" fontId="17" fillId="6" borderId="10" applyNumberFormat="0" applyAlignment="0" applyProtection="0"/>
    <xf numFmtId="0" fontId="18" fillId="6" borderId="9" applyNumberFormat="0" applyAlignment="0" applyProtection="0"/>
    <xf numFmtId="0" fontId="19" fillId="0" borderId="11" applyNumberFormat="0" applyFill="0" applyAlignment="0" applyProtection="0"/>
    <xf numFmtId="0" fontId="20" fillId="7" borderId="12" applyNumberFormat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23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23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23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23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23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23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26" fillId="0" borderId="0"/>
    <xf numFmtId="0" fontId="27" fillId="0" borderId="0"/>
    <xf numFmtId="0" fontId="26" fillId="0" borderId="0"/>
    <xf numFmtId="168" fontId="26" fillId="0" borderId="0" applyFont="0" applyFill="0" applyBorder="0" applyAlignment="0" applyProtection="0"/>
    <xf numFmtId="166" fontId="5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9" fillId="0" borderId="0"/>
    <xf numFmtId="0" fontId="28" fillId="0" borderId="0"/>
    <xf numFmtId="0" fontId="26" fillId="0" borderId="0"/>
    <xf numFmtId="9" fontId="26" fillId="0" borderId="0" applyFont="0" applyFill="0" applyBorder="0" applyAlignment="0" applyProtection="0"/>
    <xf numFmtId="0" fontId="5" fillId="0" borderId="0"/>
    <xf numFmtId="0" fontId="33" fillId="0" borderId="0"/>
    <xf numFmtId="9" fontId="5" fillId="0" borderId="0" applyFont="0" applyFill="0" applyBorder="0" applyAlignment="0" applyProtection="0"/>
    <xf numFmtId="166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1" fontId="34" fillId="0" borderId="0" applyFont="0" applyFill="0" applyBorder="0" applyAlignment="0" applyProtection="0"/>
    <xf numFmtId="170" fontId="26" fillId="0" borderId="0" applyAlignment="0"/>
    <xf numFmtId="170" fontId="26" fillId="0" borderId="0" applyAlignment="0"/>
    <xf numFmtId="170" fontId="26" fillId="0" borderId="0" applyAlignment="0"/>
    <xf numFmtId="170" fontId="26" fillId="0" borderId="0" applyAlignment="0"/>
    <xf numFmtId="170" fontId="26" fillId="0" borderId="0" applyAlignment="0"/>
    <xf numFmtId="170" fontId="26" fillId="0" borderId="0" applyAlignment="0"/>
    <xf numFmtId="170" fontId="26" fillId="0" borderId="0" applyAlignment="0"/>
    <xf numFmtId="170" fontId="26" fillId="0" borderId="0" applyAlignment="0"/>
    <xf numFmtId="170" fontId="26" fillId="0" borderId="0" applyAlignment="0"/>
    <xf numFmtId="170" fontId="26" fillId="0" borderId="0" applyAlignment="0"/>
    <xf numFmtId="166" fontId="26" fillId="0" borderId="0" applyFont="0" applyFill="0" applyBorder="0" applyAlignment="0" applyProtection="0"/>
    <xf numFmtId="170" fontId="35" fillId="0" borderId="0"/>
    <xf numFmtId="170" fontId="26" fillId="0" borderId="0"/>
    <xf numFmtId="170" fontId="36" fillId="0" borderId="0" applyNumberFormat="0" applyFill="0" applyBorder="0" applyAlignment="0" applyProtection="0">
      <alignment vertical="top"/>
      <protection locked="0"/>
    </xf>
    <xf numFmtId="170" fontId="37" fillId="0" borderId="0"/>
    <xf numFmtId="40" fontId="38" fillId="0" borderId="0" applyFont="0" applyFill="0" applyBorder="0" applyAlignment="0" applyProtection="0"/>
    <xf numFmtId="38" fontId="38" fillId="0" borderId="0" applyFont="0" applyFill="0" applyBorder="0" applyAlignment="0" applyProtection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35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39" fillId="0" borderId="0"/>
    <xf numFmtId="170" fontId="39" fillId="0" borderId="0"/>
    <xf numFmtId="170" fontId="40" fillId="0" borderId="0"/>
    <xf numFmtId="170" fontId="40" fillId="0" borderId="0"/>
    <xf numFmtId="170" fontId="40" fillId="0" borderId="0"/>
    <xf numFmtId="170" fontId="40" fillId="0" borderId="0"/>
    <xf numFmtId="170" fontId="40" fillId="0" borderId="0"/>
    <xf numFmtId="170" fontId="40" fillId="0" borderId="0"/>
    <xf numFmtId="170" fontId="40" fillId="0" borderId="0"/>
    <xf numFmtId="170" fontId="40" fillId="0" borderId="0"/>
    <xf numFmtId="170" fontId="40" fillId="0" borderId="0"/>
    <xf numFmtId="170" fontId="40" fillId="0" borderId="0"/>
    <xf numFmtId="166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70" fontId="28" fillId="36" borderId="0" applyNumberFormat="0" applyBorder="0" applyAlignment="0" applyProtection="0"/>
    <xf numFmtId="170" fontId="28" fillId="36" borderId="0" applyNumberFormat="0" applyBorder="0" applyAlignment="0" applyProtection="0"/>
    <xf numFmtId="170" fontId="28" fillId="36" borderId="0" applyNumberFormat="0" applyBorder="0" applyAlignment="0" applyProtection="0"/>
    <xf numFmtId="170" fontId="28" fillId="37" borderId="0" applyNumberFormat="0" applyBorder="0" applyAlignment="0" applyProtection="0"/>
    <xf numFmtId="170" fontId="28" fillId="37" borderId="0" applyNumberFormat="0" applyBorder="0" applyAlignment="0" applyProtection="0"/>
    <xf numFmtId="170" fontId="28" fillId="37" borderId="0" applyNumberFormat="0" applyBorder="0" applyAlignment="0" applyProtection="0"/>
    <xf numFmtId="170" fontId="28" fillId="38" borderId="0" applyNumberFormat="0" applyBorder="0" applyAlignment="0" applyProtection="0"/>
    <xf numFmtId="170" fontId="28" fillId="38" borderId="0" applyNumberFormat="0" applyBorder="0" applyAlignment="0" applyProtection="0"/>
    <xf numFmtId="170" fontId="28" fillId="38" borderId="0" applyNumberFormat="0" applyBorder="0" applyAlignment="0" applyProtection="0"/>
    <xf numFmtId="170" fontId="28" fillId="39" borderId="0" applyNumberFormat="0" applyBorder="0" applyAlignment="0" applyProtection="0"/>
    <xf numFmtId="170" fontId="28" fillId="39" borderId="0" applyNumberFormat="0" applyBorder="0" applyAlignment="0" applyProtection="0"/>
    <xf numFmtId="170" fontId="28" fillId="39" borderId="0" applyNumberFormat="0" applyBorder="0" applyAlignment="0" applyProtection="0"/>
    <xf numFmtId="170" fontId="28" fillId="40" borderId="0" applyNumberFormat="0" applyBorder="0" applyAlignment="0" applyProtection="0"/>
    <xf numFmtId="170" fontId="28" fillId="40" borderId="0" applyNumberFormat="0" applyBorder="0" applyAlignment="0" applyProtection="0"/>
    <xf numFmtId="170" fontId="28" fillId="40" borderId="0" applyNumberFormat="0" applyBorder="0" applyAlignment="0" applyProtection="0"/>
    <xf numFmtId="170" fontId="28" fillId="41" borderId="0" applyNumberFormat="0" applyBorder="0" applyAlignment="0" applyProtection="0"/>
    <xf numFmtId="170" fontId="28" fillId="41" borderId="0" applyNumberFormat="0" applyBorder="0" applyAlignment="0" applyProtection="0"/>
    <xf numFmtId="170" fontId="28" fillId="41" borderId="0" applyNumberFormat="0" applyBorder="0" applyAlignment="0" applyProtection="0"/>
    <xf numFmtId="170" fontId="41" fillId="36" borderId="0" applyNumberFormat="0" applyBorder="0" applyAlignment="0" applyProtection="0"/>
    <xf numFmtId="170" fontId="41" fillId="36" borderId="0" applyNumberFormat="0" applyBorder="0" applyAlignment="0" applyProtection="0"/>
    <xf numFmtId="170" fontId="28" fillId="36" borderId="0" applyNumberFormat="0" applyBorder="0" applyAlignment="0" applyProtection="0"/>
    <xf numFmtId="170" fontId="41" fillId="37" borderId="0" applyNumberFormat="0" applyBorder="0" applyAlignment="0" applyProtection="0"/>
    <xf numFmtId="170" fontId="41" fillId="37" borderId="0" applyNumberFormat="0" applyBorder="0" applyAlignment="0" applyProtection="0"/>
    <xf numFmtId="170" fontId="28" fillId="37" borderId="0" applyNumberFormat="0" applyBorder="0" applyAlignment="0" applyProtection="0"/>
    <xf numFmtId="170" fontId="41" fillId="38" borderId="0" applyNumberFormat="0" applyBorder="0" applyAlignment="0" applyProtection="0"/>
    <xf numFmtId="170" fontId="41" fillId="38" borderId="0" applyNumberFormat="0" applyBorder="0" applyAlignment="0" applyProtection="0"/>
    <xf numFmtId="170" fontId="28" fillId="38" borderId="0" applyNumberFormat="0" applyBorder="0" applyAlignment="0" applyProtection="0"/>
    <xf numFmtId="170" fontId="41" fillId="39" borderId="0" applyNumberFormat="0" applyBorder="0" applyAlignment="0" applyProtection="0"/>
    <xf numFmtId="170" fontId="41" fillId="39" borderId="0" applyNumberFormat="0" applyBorder="0" applyAlignment="0" applyProtection="0"/>
    <xf numFmtId="170" fontId="28" fillId="39" borderId="0" applyNumberFormat="0" applyBorder="0" applyAlignment="0" applyProtection="0"/>
    <xf numFmtId="170" fontId="41" fillId="40" borderId="0" applyNumberFormat="0" applyBorder="0" applyAlignment="0" applyProtection="0"/>
    <xf numFmtId="170" fontId="41" fillId="40" borderId="0" applyNumberFormat="0" applyBorder="0" applyAlignment="0" applyProtection="0"/>
    <xf numFmtId="170" fontId="28" fillId="40" borderId="0" applyNumberFormat="0" applyBorder="0" applyAlignment="0" applyProtection="0"/>
    <xf numFmtId="170" fontId="41" fillId="41" borderId="0" applyNumberFormat="0" applyBorder="0" applyAlignment="0" applyProtection="0"/>
    <xf numFmtId="170" fontId="41" fillId="41" borderId="0" applyNumberFormat="0" applyBorder="0" applyAlignment="0" applyProtection="0"/>
    <xf numFmtId="170" fontId="28" fillId="41" borderId="0" applyNumberFormat="0" applyBorder="0" applyAlignment="0" applyProtection="0"/>
    <xf numFmtId="170" fontId="28" fillId="36" borderId="0" applyNumberFormat="0" applyBorder="0" applyAlignment="0" applyProtection="0"/>
    <xf numFmtId="170" fontId="28" fillId="36" borderId="0" applyNumberFormat="0" applyBorder="0" applyAlignment="0" applyProtection="0"/>
    <xf numFmtId="170" fontId="28" fillId="37" borderId="0" applyNumberFormat="0" applyBorder="0" applyAlignment="0" applyProtection="0"/>
    <xf numFmtId="170" fontId="28" fillId="37" borderId="0" applyNumberFormat="0" applyBorder="0" applyAlignment="0" applyProtection="0"/>
    <xf numFmtId="170" fontId="28" fillId="38" borderId="0" applyNumberFormat="0" applyBorder="0" applyAlignment="0" applyProtection="0"/>
    <xf numFmtId="170" fontId="28" fillId="38" borderId="0" applyNumberFormat="0" applyBorder="0" applyAlignment="0" applyProtection="0"/>
    <xf numFmtId="170" fontId="28" fillId="39" borderId="0" applyNumberFormat="0" applyBorder="0" applyAlignment="0" applyProtection="0"/>
    <xf numFmtId="170" fontId="28" fillId="39" borderId="0" applyNumberFormat="0" applyBorder="0" applyAlignment="0" applyProtection="0"/>
    <xf numFmtId="170" fontId="28" fillId="40" borderId="0" applyNumberFormat="0" applyBorder="0" applyAlignment="0" applyProtection="0"/>
    <xf numFmtId="170" fontId="28" fillId="40" borderId="0" applyNumberFormat="0" applyBorder="0" applyAlignment="0" applyProtection="0"/>
    <xf numFmtId="170" fontId="28" fillId="41" borderId="0" applyNumberFormat="0" applyBorder="0" applyAlignment="0" applyProtection="0"/>
    <xf numFmtId="170" fontId="28" fillId="41" borderId="0" applyNumberFormat="0" applyBorder="0" applyAlignment="0" applyProtection="0"/>
    <xf numFmtId="170" fontId="42" fillId="42" borderId="0" applyNumberFormat="0" applyBorder="0" applyAlignment="0" applyProtection="0"/>
    <xf numFmtId="170" fontId="42" fillId="42" borderId="0" applyNumberFormat="0" applyBorder="0" applyAlignment="0" applyProtection="0"/>
    <xf numFmtId="170" fontId="42" fillId="41" borderId="0" applyNumberFormat="0" applyBorder="0" applyAlignment="0" applyProtection="0"/>
    <xf numFmtId="170" fontId="42" fillId="41" borderId="0" applyNumberFormat="0" applyBorder="0" applyAlignment="0" applyProtection="0"/>
    <xf numFmtId="170" fontId="42" fillId="43" borderId="0" applyNumberFormat="0" applyBorder="0" applyAlignment="0" applyProtection="0"/>
    <xf numFmtId="170" fontId="42" fillId="43" borderId="0" applyNumberFormat="0" applyBorder="0" applyAlignment="0" applyProtection="0"/>
    <xf numFmtId="170" fontId="42" fillId="42" borderId="0" applyNumberFormat="0" applyBorder="0" applyAlignment="0" applyProtection="0"/>
    <xf numFmtId="170" fontId="42" fillId="42" borderId="0" applyNumberFormat="0" applyBorder="0" applyAlignment="0" applyProtection="0"/>
    <xf numFmtId="170" fontId="42" fillId="40" borderId="0" applyNumberFormat="0" applyBorder="0" applyAlignment="0" applyProtection="0"/>
    <xf numFmtId="170" fontId="42" fillId="40" borderId="0" applyNumberFormat="0" applyBorder="0" applyAlignment="0" applyProtection="0"/>
    <xf numFmtId="170" fontId="42" fillId="41" borderId="0" applyNumberFormat="0" applyBorder="0" applyAlignment="0" applyProtection="0"/>
    <xf numFmtId="170" fontId="42" fillId="41" borderId="0" applyNumberFormat="0" applyBorder="0" applyAlignment="0" applyProtection="0"/>
    <xf numFmtId="170" fontId="43" fillId="36" borderId="0" applyNumberFormat="0" applyBorder="0" applyAlignment="0" applyProtection="0"/>
    <xf numFmtId="170" fontId="43" fillId="36" borderId="0" applyNumberFormat="0" applyBorder="0" applyAlignment="0" applyProtection="0"/>
    <xf numFmtId="170" fontId="43" fillId="36" borderId="0" applyNumberFormat="0" applyBorder="0" applyAlignment="0" applyProtection="0"/>
    <xf numFmtId="170" fontId="43" fillId="36" borderId="0" applyNumberFormat="0" applyBorder="0" applyAlignment="0" applyProtection="0"/>
    <xf numFmtId="170" fontId="43" fillId="36" borderId="0" applyNumberFormat="0" applyBorder="0" applyAlignment="0" applyProtection="0"/>
    <xf numFmtId="170" fontId="43" fillId="37" borderId="0" applyNumberFormat="0" applyBorder="0" applyAlignment="0" applyProtection="0"/>
    <xf numFmtId="170" fontId="43" fillId="37" borderId="0" applyNumberFormat="0" applyBorder="0" applyAlignment="0" applyProtection="0"/>
    <xf numFmtId="170" fontId="43" fillId="37" borderId="0" applyNumberFormat="0" applyBorder="0" applyAlignment="0" applyProtection="0"/>
    <xf numFmtId="170" fontId="43" fillId="37" borderId="0" applyNumberFormat="0" applyBorder="0" applyAlignment="0" applyProtection="0"/>
    <xf numFmtId="170" fontId="43" fillId="37" borderId="0" applyNumberFormat="0" applyBorder="0" applyAlignment="0" applyProtection="0"/>
    <xf numFmtId="170" fontId="43" fillId="38" borderId="0" applyNumberFormat="0" applyBorder="0" applyAlignment="0" applyProtection="0"/>
    <xf numFmtId="170" fontId="43" fillId="38" borderId="0" applyNumberFormat="0" applyBorder="0" applyAlignment="0" applyProtection="0"/>
    <xf numFmtId="170" fontId="43" fillId="38" borderId="0" applyNumberFormat="0" applyBorder="0" applyAlignment="0" applyProtection="0"/>
    <xf numFmtId="170" fontId="43" fillId="38" borderId="0" applyNumberFormat="0" applyBorder="0" applyAlignment="0" applyProtection="0"/>
    <xf numFmtId="170" fontId="43" fillId="38" borderId="0" applyNumberFormat="0" applyBorder="0" applyAlignment="0" applyProtection="0"/>
    <xf numFmtId="170" fontId="43" fillId="39" borderId="0" applyNumberFormat="0" applyBorder="0" applyAlignment="0" applyProtection="0"/>
    <xf numFmtId="170" fontId="43" fillId="39" borderId="0" applyNumberFormat="0" applyBorder="0" applyAlignment="0" applyProtection="0"/>
    <xf numFmtId="170" fontId="43" fillId="39" borderId="0" applyNumberFormat="0" applyBorder="0" applyAlignment="0" applyProtection="0"/>
    <xf numFmtId="170" fontId="43" fillId="39" borderId="0" applyNumberFormat="0" applyBorder="0" applyAlignment="0" applyProtection="0"/>
    <xf numFmtId="170" fontId="43" fillId="39" borderId="0" applyNumberFormat="0" applyBorder="0" applyAlignment="0" applyProtection="0"/>
    <xf numFmtId="170" fontId="43" fillId="40" borderId="0" applyNumberFormat="0" applyBorder="0" applyAlignment="0" applyProtection="0"/>
    <xf numFmtId="170" fontId="43" fillId="40" borderId="0" applyNumberFormat="0" applyBorder="0" applyAlignment="0" applyProtection="0"/>
    <xf numFmtId="170" fontId="43" fillId="40" borderId="0" applyNumberFormat="0" applyBorder="0" applyAlignment="0" applyProtection="0"/>
    <xf numFmtId="170" fontId="43" fillId="40" borderId="0" applyNumberFormat="0" applyBorder="0" applyAlignment="0" applyProtection="0"/>
    <xf numFmtId="170" fontId="43" fillId="40" borderId="0" applyNumberFormat="0" applyBorder="0" applyAlignment="0" applyProtection="0"/>
    <xf numFmtId="170" fontId="43" fillId="41" borderId="0" applyNumberFormat="0" applyBorder="0" applyAlignment="0" applyProtection="0"/>
    <xf numFmtId="170" fontId="43" fillId="41" borderId="0" applyNumberFormat="0" applyBorder="0" applyAlignment="0" applyProtection="0"/>
    <xf numFmtId="170" fontId="43" fillId="41" borderId="0" applyNumberFormat="0" applyBorder="0" applyAlignment="0" applyProtection="0"/>
    <xf numFmtId="170" fontId="43" fillId="41" borderId="0" applyNumberFormat="0" applyBorder="0" applyAlignment="0" applyProtection="0"/>
    <xf numFmtId="170" fontId="43" fillId="41" borderId="0" applyNumberFormat="0" applyBorder="0" applyAlignment="0" applyProtection="0"/>
    <xf numFmtId="170" fontId="41" fillId="36" borderId="0" applyNumberFormat="0" applyBorder="0" applyAlignment="0" applyProtection="0"/>
    <xf numFmtId="170" fontId="41" fillId="36" borderId="0" applyNumberFormat="0" applyBorder="0" applyAlignment="0" applyProtection="0"/>
    <xf numFmtId="170" fontId="41" fillId="36" borderId="0" applyNumberFormat="0" applyBorder="0" applyAlignment="0" applyProtection="0"/>
    <xf numFmtId="170" fontId="28" fillId="36" borderId="0" applyNumberFormat="0" applyBorder="0" applyAlignment="0" applyProtection="0"/>
    <xf numFmtId="170" fontId="41" fillId="37" borderId="0" applyNumberFormat="0" applyBorder="0" applyAlignment="0" applyProtection="0"/>
    <xf numFmtId="170" fontId="41" fillId="37" borderId="0" applyNumberFormat="0" applyBorder="0" applyAlignment="0" applyProtection="0"/>
    <xf numFmtId="170" fontId="41" fillId="37" borderId="0" applyNumberFormat="0" applyBorder="0" applyAlignment="0" applyProtection="0"/>
    <xf numFmtId="170" fontId="28" fillId="37" borderId="0" applyNumberFormat="0" applyBorder="0" applyAlignment="0" applyProtection="0"/>
    <xf numFmtId="170" fontId="41" fillId="38" borderId="0" applyNumberFormat="0" applyBorder="0" applyAlignment="0" applyProtection="0"/>
    <xf numFmtId="170" fontId="41" fillId="38" borderId="0" applyNumberFormat="0" applyBorder="0" applyAlignment="0" applyProtection="0"/>
    <xf numFmtId="170" fontId="41" fillId="38" borderId="0" applyNumberFormat="0" applyBorder="0" applyAlignment="0" applyProtection="0"/>
    <xf numFmtId="170" fontId="28" fillId="38" borderId="0" applyNumberFormat="0" applyBorder="0" applyAlignment="0" applyProtection="0"/>
    <xf numFmtId="170" fontId="41" fillId="39" borderId="0" applyNumberFormat="0" applyBorder="0" applyAlignment="0" applyProtection="0"/>
    <xf numFmtId="170" fontId="41" fillId="39" borderId="0" applyNumberFormat="0" applyBorder="0" applyAlignment="0" applyProtection="0"/>
    <xf numFmtId="170" fontId="41" fillId="39" borderId="0" applyNumberFormat="0" applyBorder="0" applyAlignment="0" applyProtection="0"/>
    <xf numFmtId="170" fontId="28" fillId="39" borderId="0" applyNumberFormat="0" applyBorder="0" applyAlignment="0" applyProtection="0"/>
    <xf numFmtId="170" fontId="41" fillId="40" borderId="0" applyNumberFormat="0" applyBorder="0" applyAlignment="0" applyProtection="0"/>
    <xf numFmtId="170" fontId="41" fillId="40" borderId="0" applyNumberFormat="0" applyBorder="0" applyAlignment="0" applyProtection="0"/>
    <xf numFmtId="170" fontId="41" fillId="40" borderId="0" applyNumberFormat="0" applyBorder="0" applyAlignment="0" applyProtection="0"/>
    <xf numFmtId="170" fontId="28" fillId="40" borderId="0" applyNumberFormat="0" applyBorder="0" applyAlignment="0" applyProtection="0"/>
    <xf numFmtId="170" fontId="41" fillId="41" borderId="0" applyNumberFormat="0" applyBorder="0" applyAlignment="0" applyProtection="0"/>
    <xf numFmtId="170" fontId="41" fillId="41" borderId="0" applyNumberFormat="0" applyBorder="0" applyAlignment="0" applyProtection="0"/>
    <xf numFmtId="170" fontId="41" fillId="41" borderId="0" applyNumberFormat="0" applyBorder="0" applyAlignment="0" applyProtection="0"/>
    <xf numFmtId="170" fontId="28" fillId="41" borderId="0" applyNumberFormat="0" applyBorder="0" applyAlignment="0" applyProtection="0"/>
    <xf numFmtId="170" fontId="41" fillId="36" borderId="0" applyNumberFormat="0" applyBorder="0" applyAlignment="0" applyProtection="0"/>
    <xf numFmtId="170" fontId="41" fillId="36" borderId="0" applyNumberFormat="0" applyBorder="0" applyAlignment="0" applyProtection="0"/>
    <xf numFmtId="170" fontId="28" fillId="36" borderId="0" applyNumberFormat="0" applyBorder="0" applyAlignment="0" applyProtection="0"/>
    <xf numFmtId="170" fontId="41" fillId="37" borderId="0" applyNumberFormat="0" applyBorder="0" applyAlignment="0" applyProtection="0"/>
    <xf numFmtId="170" fontId="41" fillId="37" borderId="0" applyNumberFormat="0" applyBorder="0" applyAlignment="0" applyProtection="0"/>
    <xf numFmtId="170" fontId="28" fillId="37" borderId="0" applyNumberFormat="0" applyBorder="0" applyAlignment="0" applyProtection="0"/>
    <xf numFmtId="170" fontId="41" fillId="38" borderId="0" applyNumberFormat="0" applyBorder="0" applyAlignment="0" applyProtection="0"/>
    <xf numFmtId="170" fontId="41" fillId="38" borderId="0" applyNumberFormat="0" applyBorder="0" applyAlignment="0" applyProtection="0"/>
    <xf numFmtId="170" fontId="28" fillId="38" borderId="0" applyNumberFormat="0" applyBorder="0" applyAlignment="0" applyProtection="0"/>
    <xf numFmtId="170" fontId="41" fillId="39" borderId="0" applyNumberFormat="0" applyBorder="0" applyAlignment="0" applyProtection="0"/>
    <xf numFmtId="170" fontId="41" fillId="39" borderId="0" applyNumberFormat="0" applyBorder="0" applyAlignment="0" applyProtection="0"/>
    <xf numFmtId="170" fontId="28" fillId="39" borderId="0" applyNumberFormat="0" applyBorder="0" applyAlignment="0" applyProtection="0"/>
    <xf numFmtId="170" fontId="41" fillId="40" borderId="0" applyNumberFormat="0" applyBorder="0" applyAlignment="0" applyProtection="0"/>
    <xf numFmtId="170" fontId="41" fillId="40" borderId="0" applyNumberFormat="0" applyBorder="0" applyAlignment="0" applyProtection="0"/>
    <xf numFmtId="170" fontId="28" fillId="40" borderId="0" applyNumberFormat="0" applyBorder="0" applyAlignment="0" applyProtection="0"/>
    <xf numFmtId="170" fontId="41" fillId="41" borderId="0" applyNumberFormat="0" applyBorder="0" applyAlignment="0" applyProtection="0"/>
    <xf numFmtId="170" fontId="41" fillId="41" borderId="0" applyNumberFormat="0" applyBorder="0" applyAlignment="0" applyProtection="0"/>
    <xf numFmtId="170" fontId="28" fillId="41" borderId="0" applyNumberFormat="0" applyBorder="0" applyAlignment="0" applyProtection="0"/>
    <xf numFmtId="170" fontId="28" fillId="44" borderId="0" applyNumberFormat="0" applyBorder="0" applyAlignment="0" applyProtection="0"/>
    <xf numFmtId="170" fontId="28" fillId="44" borderId="0" applyNumberFormat="0" applyBorder="0" applyAlignment="0" applyProtection="0"/>
    <xf numFmtId="170" fontId="28" fillId="44" borderId="0" applyNumberFormat="0" applyBorder="0" applyAlignment="0" applyProtection="0"/>
    <xf numFmtId="170" fontId="28" fillId="45" borderId="0" applyNumberFormat="0" applyBorder="0" applyAlignment="0" applyProtection="0"/>
    <xf numFmtId="170" fontId="28" fillId="45" borderId="0" applyNumberFormat="0" applyBorder="0" applyAlignment="0" applyProtection="0"/>
    <xf numFmtId="170" fontId="28" fillId="45" borderId="0" applyNumberFormat="0" applyBorder="0" applyAlignment="0" applyProtection="0"/>
    <xf numFmtId="170" fontId="28" fillId="46" borderId="0" applyNumberFormat="0" applyBorder="0" applyAlignment="0" applyProtection="0"/>
    <xf numFmtId="170" fontId="28" fillId="46" borderId="0" applyNumberFormat="0" applyBorder="0" applyAlignment="0" applyProtection="0"/>
    <xf numFmtId="170" fontId="28" fillId="46" borderId="0" applyNumberFormat="0" applyBorder="0" applyAlignment="0" applyProtection="0"/>
    <xf numFmtId="170" fontId="28" fillId="39" borderId="0" applyNumberFormat="0" applyBorder="0" applyAlignment="0" applyProtection="0"/>
    <xf numFmtId="170" fontId="28" fillId="39" borderId="0" applyNumberFormat="0" applyBorder="0" applyAlignment="0" applyProtection="0"/>
    <xf numFmtId="170" fontId="28" fillId="39" borderId="0" applyNumberFormat="0" applyBorder="0" applyAlignment="0" applyProtection="0"/>
    <xf numFmtId="170" fontId="28" fillId="44" borderId="0" applyNumberFormat="0" applyBorder="0" applyAlignment="0" applyProtection="0"/>
    <xf numFmtId="170" fontId="28" fillId="44" borderId="0" applyNumberFormat="0" applyBorder="0" applyAlignment="0" applyProtection="0"/>
    <xf numFmtId="170" fontId="28" fillId="44" borderId="0" applyNumberFormat="0" applyBorder="0" applyAlignment="0" applyProtection="0"/>
    <xf numFmtId="170" fontId="28" fillId="47" borderId="0" applyNumberFormat="0" applyBorder="0" applyAlignment="0" applyProtection="0"/>
    <xf numFmtId="170" fontId="28" fillId="47" borderId="0" applyNumberFormat="0" applyBorder="0" applyAlignment="0" applyProtection="0"/>
    <xf numFmtId="170" fontId="28" fillId="47" borderId="0" applyNumberFormat="0" applyBorder="0" applyAlignment="0" applyProtection="0"/>
    <xf numFmtId="170" fontId="41" fillId="44" borderId="0" applyNumberFormat="0" applyBorder="0" applyAlignment="0" applyProtection="0"/>
    <xf numFmtId="170" fontId="41" fillId="44" borderId="0" applyNumberFormat="0" applyBorder="0" applyAlignment="0" applyProtection="0"/>
    <xf numFmtId="170" fontId="28" fillId="44" borderId="0" applyNumberFormat="0" applyBorder="0" applyAlignment="0" applyProtection="0"/>
    <xf numFmtId="170" fontId="41" fillId="45" borderId="0" applyNumberFormat="0" applyBorder="0" applyAlignment="0" applyProtection="0"/>
    <xf numFmtId="170" fontId="41" fillId="45" borderId="0" applyNumberFormat="0" applyBorder="0" applyAlignment="0" applyProtection="0"/>
    <xf numFmtId="170" fontId="28" fillId="45" borderId="0" applyNumberFormat="0" applyBorder="0" applyAlignment="0" applyProtection="0"/>
    <xf numFmtId="170" fontId="41" fillId="46" borderId="0" applyNumberFormat="0" applyBorder="0" applyAlignment="0" applyProtection="0"/>
    <xf numFmtId="170" fontId="41" fillId="46" borderId="0" applyNumberFormat="0" applyBorder="0" applyAlignment="0" applyProtection="0"/>
    <xf numFmtId="170" fontId="28" fillId="46" borderId="0" applyNumberFormat="0" applyBorder="0" applyAlignment="0" applyProtection="0"/>
    <xf numFmtId="170" fontId="41" fillId="39" borderId="0" applyNumberFormat="0" applyBorder="0" applyAlignment="0" applyProtection="0"/>
    <xf numFmtId="170" fontId="41" fillId="39" borderId="0" applyNumberFormat="0" applyBorder="0" applyAlignment="0" applyProtection="0"/>
    <xf numFmtId="170" fontId="28" fillId="39" borderId="0" applyNumberFormat="0" applyBorder="0" applyAlignment="0" applyProtection="0"/>
    <xf numFmtId="170" fontId="41" fillId="44" borderId="0" applyNumberFormat="0" applyBorder="0" applyAlignment="0" applyProtection="0"/>
    <xf numFmtId="170" fontId="41" fillId="44" borderId="0" applyNumberFormat="0" applyBorder="0" applyAlignment="0" applyProtection="0"/>
    <xf numFmtId="170" fontId="28" fillId="44" borderId="0" applyNumberFormat="0" applyBorder="0" applyAlignment="0" applyProtection="0"/>
    <xf numFmtId="170" fontId="41" fillId="47" borderId="0" applyNumberFormat="0" applyBorder="0" applyAlignment="0" applyProtection="0"/>
    <xf numFmtId="170" fontId="41" fillId="47" borderId="0" applyNumberFormat="0" applyBorder="0" applyAlignment="0" applyProtection="0"/>
    <xf numFmtId="170" fontId="28" fillId="47" borderId="0" applyNumberFormat="0" applyBorder="0" applyAlignment="0" applyProtection="0"/>
    <xf numFmtId="170" fontId="28" fillId="44" borderId="0" applyNumberFormat="0" applyBorder="0" applyAlignment="0" applyProtection="0"/>
    <xf numFmtId="170" fontId="28" fillId="44" borderId="0" applyNumberFormat="0" applyBorder="0" applyAlignment="0" applyProtection="0"/>
    <xf numFmtId="170" fontId="28" fillId="45" borderId="0" applyNumberFormat="0" applyBorder="0" applyAlignment="0" applyProtection="0"/>
    <xf numFmtId="170" fontId="28" fillId="45" borderId="0" applyNumberFormat="0" applyBorder="0" applyAlignment="0" applyProtection="0"/>
    <xf numFmtId="170" fontId="28" fillId="46" borderId="0" applyNumberFormat="0" applyBorder="0" applyAlignment="0" applyProtection="0"/>
    <xf numFmtId="170" fontId="28" fillId="46" borderId="0" applyNumberFormat="0" applyBorder="0" applyAlignment="0" applyProtection="0"/>
    <xf numFmtId="170" fontId="28" fillId="39" borderId="0" applyNumberFormat="0" applyBorder="0" applyAlignment="0" applyProtection="0"/>
    <xf numFmtId="170" fontId="28" fillId="39" borderId="0" applyNumberFormat="0" applyBorder="0" applyAlignment="0" applyProtection="0"/>
    <xf numFmtId="170" fontId="28" fillId="44" borderId="0" applyNumberFormat="0" applyBorder="0" applyAlignment="0" applyProtection="0"/>
    <xf numFmtId="170" fontId="28" fillId="44" borderId="0" applyNumberFormat="0" applyBorder="0" applyAlignment="0" applyProtection="0"/>
    <xf numFmtId="170" fontId="28" fillId="47" borderId="0" applyNumberFormat="0" applyBorder="0" applyAlignment="0" applyProtection="0"/>
    <xf numFmtId="170" fontId="28" fillId="47" borderId="0" applyNumberFormat="0" applyBorder="0" applyAlignment="0" applyProtection="0"/>
    <xf numFmtId="170" fontId="42" fillId="48" borderId="0" applyNumberFormat="0" applyBorder="0" applyAlignment="0" applyProtection="0"/>
    <xf numFmtId="170" fontId="42" fillId="48" borderId="0" applyNumberFormat="0" applyBorder="0" applyAlignment="0" applyProtection="0"/>
    <xf numFmtId="170" fontId="42" fillId="45" borderId="0" applyNumberFormat="0" applyBorder="0" applyAlignment="0" applyProtection="0"/>
    <xf numFmtId="170" fontId="42" fillId="45" borderId="0" applyNumberFormat="0" applyBorder="0" applyAlignment="0" applyProtection="0"/>
    <xf numFmtId="170" fontId="42" fillId="49" borderId="0" applyNumberFormat="0" applyBorder="0" applyAlignment="0" applyProtection="0"/>
    <xf numFmtId="170" fontId="42" fillId="49" borderId="0" applyNumberFormat="0" applyBorder="0" applyAlignment="0" applyProtection="0"/>
    <xf numFmtId="170" fontId="42" fillId="48" borderId="0" applyNumberFormat="0" applyBorder="0" applyAlignment="0" applyProtection="0"/>
    <xf numFmtId="170" fontId="42" fillId="48" borderId="0" applyNumberFormat="0" applyBorder="0" applyAlignment="0" applyProtection="0"/>
    <xf numFmtId="170" fontId="42" fillId="44" borderId="0" applyNumberFormat="0" applyBorder="0" applyAlignment="0" applyProtection="0"/>
    <xf numFmtId="170" fontId="42" fillId="44" borderId="0" applyNumberFormat="0" applyBorder="0" applyAlignment="0" applyProtection="0"/>
    <xf numFmtId="170" fontId="42" fillId="41" borderId="0" applyNumberFormat="0" applyBorder="0" applyAlignment="0" applyProtection="0"/>
    <xf numFmtId="170" fontId="42" fillId="41" borderId="0" applyNumberFormat="0" applyBorder="0" applyAlignment="0" applyProtection="0"/>
    <xf numFmtId="170" fontId="43" fillId="44" borderId="0" applyNumberFormat="0" applyBorder="0" applyAlignment="0" applyProtection="0"/>
    <xf numFmtId="170" fontId="43" fillId="44" borderId="0" applyNumberFormat="0" applyBorder="0" applyAlignment="0" applyProtection="0"/>
    <xf numFmtId="170" fontId="43" fillId="44" borderId="0" applyNumberFormat="0" applyBorder="0" applyAlignment="0" applyProtection="0"/>
    <xf numFmtId="170" fontId="43" fillId="44" borderId="0" applyNumberFormat="0" applyBorder="0" applyAlignment="0" applyProtection="0"/>
    <xf numFmtId="170" fontId="43" fillId="44" borderId="0" applyNumberFormat="0" applyBorder="0" applyAlignment="0" applyProtection="0"/>
    <xf numFmtId="170" fontId="43" fillId="45" borderId="0" applyNumberFormat="0" applyBorder="0" applyAlignment="0" applyProtection="0"/>
    <xf numFmtId="170" fontId="43" fillId="45" borderId="0" applyNumberFormat="0" applyBorder="0" applyAlignment="0" applyProtection="0"/>
    <xf numFmtId="170" fontId="43" fillId="45" borderId="0" applyNumberFormat="0" applyBorder="0" applyAlignment="0" applyProtection="0"/>
    <xf numFmtId="170" fontId="43" fillId="45" borderId="0" applyNumberFormat="0" applyBorder="0" applyAlignment="0" applyProtection="0"/>
    <xf numFmtId="170" fontId="43" fillId="45" borderId="0" applyNumberFormat="0" applyBorder="0" applyAlignment="0" applyProtection="0"/>
    <xf numFmtId="170" fontId="43" fillId="46" borderId="0" applyNumberFormat="0" applyBorder="0" applyAlignment="0" applyProtection="0"/>
    <xf numFmtId="170" fontId="43" fillId="46" borderId="0" applyNumberFormat="0" applyBorder="0" applyAlignment="0" applyProtection="0"/>
    <xf numFmtId="170" fontId="43" fillId="46" borderId="0" applyNumberFormat="0" applyBorder="0" applyAlignment="0" applyProtection="0"/>
    <xf numFmtId="170" fontId="43" fillId="46" borderId="0" applyNumberFormat="0" applyBorder="0" applyAlignment="0" applyProtection="0"/>
    <xf numFmtId="170" fontId="43" fillId="46" borderId="0" applyNumberFormat="0" applyBorder="0" applyAlignment="0" applyProtection="0"/>
    <xf numFmtId="170" fontId="43" fillId="39" borderId="0" applyNumberFormat="0" applyBorder="0" applyAlignment="0" applyProtection="0"/>
    <xf numFmtId="170" fontId="43" fillId="39" borderId="0" applyNumberFormat="0" applyBorder="0" applyAlignment="0" applyProtection="0"/>
    <xf numFmtId="170" fontId="43" fillId="39" borderId="0" applyNumberFormat="0" applyBorder="0" applyAlignment="0" applyProtection="0"/>
    <xf numFmtId="170" fontId="43" fillId="39" borderId="0" applyNumberFormat="0" applyBorder="0" applyAlignment="0" applyProtection="0"/>
    <xf numFmtId="170" fontId="43" fillId="39" borderId="0" applyNumberFormat="0" applyBorder="0" applyAlignment="0" applyProtection="0"/>
    <xf numFmtId="170" fontId="43" fillId="44" borderId="0" applyNumberFormat="0" applyBorder="0" applyAlignment="0" applyProtection="0"/>
    <xf numFmtId="170" fontId="43" fillId="44" borderId="0" applyNumberFormat="0" applyBorder="0" applyAlignment="0" applyProtection="0"/>
    <xf numFmtId="170" fontId="43" fillId="44" borderId="0" applyNumberFormat="0" applyBorder="0" applyAlignment="0" applyProtection="0"/>
    <xf numFmtId="170" fontId="43" fillId="44" borderId="0" applyNumberFormat="0" applyBorder="0" applyAlignment="0" applyProtection="0"/>
    <xf numFmtId="170" fontId="43" fillId="44" borderId="0" applyNumberFormat="0" applyBorder="0" applyAlignment="0" applyProtection="0"/>
    <xf numFmtId="170" fontId="43" fillId="47" borderId="0" applyNumberFormat="0" applyBorder="0" applyAlignment="0" applyProtection="0"/>
    <xf numFmtId="170" fontId="43" fillId="47" borderId="0" applyNumberFormat="0" applyBorder="0" applyAlignment="0" applyProtection="0"/>
    <xf numFmtId="170" fontId="43" fillId="47" borderId="0" applyNumberFormat="0" applyBorder="0" applyAlignment="0" applyProtection="0"/>
    <xf numFmtId="170" fontId="43" fillId="47" borderId="0" applyNumberFormat="0" applyBorder="0" applyAlignment="0" applyProtection="0"/>
    <xf numFmtId="170" fontId="43" fillId="47" borderId="0" applyNumberFormat="0" applyBorder="0" applyAlignment="0" applyProtection="0"/>
    <xf numFmtId="170" fontId="41" fillId="44" borderId="0" applyNumberFormat="0" applyBorder="0" applyAlignment="0" applyProtection="0"/>
    <xf numFmtId="170" fontId="41" fillId="44" borderId="0" applyNumberFormat="0" applyBorder="0" applyAlignment="0" applyProtection="0"/>
    <xf numFmtId="170" fontId="41" fillId="44" borderId="0" applyNumberFormat="0" applyBorder="0" applyAlignment="0" applyProtection="0"/>
    <xf numFmtId="170" fontId="28" fillId="44" borderId="0" applyNumberFormat="0" applyBorder="0" applyAlignment="0" applyProtection="0"/>
    <xf numFmtId="170" fontId="41" fillId="45" borderId="0" applyNumberFormat="0" applyBorder="0" applyAlignment="0" applyProtection="0"/>
    <xf numFmtId="170" fontId="41" fillId="45" borderId="0" applyNumberFormat="0" applyBorder="0" applyAlignment="0" applyProtection="0"/>
    <xf numFmtId="170" fontId="41" fillId="45" borderId="0" applyNumberFormat="0" applyBorder="0" applyAlignment="0" applyProtection="0"/>
    <xf numFmtId="170" fontId="28" fillId="45" borderId="0" applyNumberFormat="0" applyBorder="0" applyAlignment="0" applyProtection="0"/>
    <xf numFmtId="170" fontId="41" fillId="46" borderId="0" applyNumberFormat="0" applyBorder="0" applyAlignment="0" applyProtection="0"/>
    <xf numFmtId="170" fontId="41" fillId="46" borderId="0" applyNumberFormat="0" applyBorder="0" applyAlignment="0" applyProtection="0"/>
    <xf numFmtId="170" fontId="41" fillId="46" borderId="0" applyNumberFormat="0" applyBorder="0" applyAlignment="0" applyProtection="0"/>
    <xf numFmtId="170" fontId="28" fillId="46" borderId="0" applyNumberFormat="0" applyBorder="0" applyAlignment="0" applyProtection="0"/>
    <xf numFmtId="170" fontId="41" fillId="39" borderId="0" applyNumberFormat="0" applyBorder="0" applyAlignment="0" applyProtection="0"/>
    <xf numFmtId="170" fontId="41" fillId="39" borderId="0" applyNumberFormat="0" applyBorder="0" applyAlignment="0" applyProtection="0"/>
    <xf numFmtId="170" fontId="41" fillId="39" borderId="0" applyNumberFormat="0" applyBorder="0" applyAlignment="0" applyProtection="0"/>
    <xf numFmtId="170" fontId="28" fillId="39" borderId="0" applyNumberFormat="0" applyBorder="0" applyAlignment="0" applyProtection="0"/>
    <xf numFmtId="170" fontId="41" fillId="44" borderId="0" applyNumberFormat="0" applyBorder="0" applyAlignment="0" applyProtection="0"/>
    <xf numFmtId="170" fontId="41" fillId="44" borderId="0" applyNumberFormat="0" applyBorder="0" applyAlignment="0" applyProtection="0"/>
    <xf numFmtId="170" fontId="41" fillId="44" borderId="0" applyNumberFormat="0" applyBorder="0" applyAlignment="0" applyProtection="0"/>
    <xf numFmtId="170" fontId="28" fillId="44" borderId="0" applyNumberFormat="0" applyBorder="0" applyAlignment="0" applyProtection="0"/>
    <xf numFmtId="170" fontId="41" fillId="47" borderId="0" applyNumberFormat="0" applyBorder="0" applyAlignment="0" applyProtection="0"/>
    <xf numFmtId="170" fontId="41" fillId="47" borderId="0" applyNumberFormat="0" applyBorder="0" applyAlignment="0" applyProtection="0"/>
    <xf numFmtId="170" fontId="41" fillId="47" borderId="0" applyNumberFormat="0" applyBorder="0" applyAlignment="0" applyProtection="0"/>
    <xf numFmtId="170" fontId="28" fillId="47" borderId="0" applyNumberFormat="0" applyBorder="0" applyAlignment="0" applyProtection="0"/>
    <xf numFmtId="170" fontId="41" fillId="44" borderId="0" applyNumberFormat="0" applyBorder="0" applyAlignment="0" applyProtection="0"/>
    <xf numFmtId="170" fontId="41" fillId="44" borderId="0" applyNumberFormat="0" applyBorder="0" applyAlignment="0" applyProtection="0"/>
    <xf numFmtId="170" fontId="28" fillId="44" borderId="0" applyNumberFormat="0" applyBorder="0" applyAlignment="0" applyProtection="0"/>
    <xf numFmtId="170" fontId="41" fillId="45" borderId="0" applyNumberFormat="0" applyBorder="0" applyAlignment="0" applyProtection="0"/>
    <xf numFmtId="170" fontId="41" fillId="45" borderId="0" applyNumberFormat="0" applyBorder="0" applyAlignment="0" applyProtection="0"/>
    <xf numFmtId="170" fontId="28" fillId="45" borderId="0" applyNumberFormat="0" applyBorder="0" applyAlignment="0" applyProtection="0"/>
    <xf numFmtId="170" fontId="41" fillId="46" borderId="0" applyNumberFormat="0" applyBorder="0" applyAlignment="0" applyProtection="0"/>
    <xf numFmtId="170" fontId="41" fillId="46" borderId="0" applyNumberFormat="0" applyBorder="0" applyAlignment="0" applyProtection="0"/>
    <xf numFmtId="170" fontId="28" fillId="46" borderId="0" applyNumberFormat="0" applyBorder="0" applyAlignment="0" applyProtection="0"/>
    <xf numFmtId="170" fontId="41" fillId="39" borderId="0" applyNumberFormat="0" applyBorder="0" applyAlignment="0" applyProtection="0"/>
    <xf numFmtId="170" fontId="41" fillId="39" borderId="0" applyNumberFormat="0" applyBorder="0" applyAlignment="0" applyProtection="0"/>
    <xf numFmtId="170" fontId="28" fillId="39" borderId="0" applyNumberFormat="0" applyBorder="0" applyAlignment="0" applyProtection="0"/>
    <xf numFmtId="170" fontId="41" fillId="44" borderId="0" applyNumberFormat="0" applyBorder="0" applyAlignment="0" applyProtection="0"/>
    <xf numFmtId="170" fontId="41" fillId="44" borderId="0" applyNumberFormat="0" applyBorder="0" applyAlignment="0" applyProtection="0"/>
    <xf numFmtId="170" fontId="28" fillId="44" borderId="0" applyNumberFormat="0" applyBorder="0" applyAlignment="0" applyProtection="0"/>
    <xf numFmtId="170" fontId="41" fillId="47" borderId="0" applyNumberFormat="0" applyBorder="0" applyAlignment="0" applyProtection="0"/>
    <xf numFmtId="170" fontId="41" fillId="47" borderId="0" applyNumberFormat="0" applyBorder="0" applyAlignment="0" applyProtection="0"/>
    <xf numFmtId="170" fontId="28" fillId="47" borderId="0" applyNumberFormat="0" applyBorder="0" applyAlignment="0" applyProtection="0"/>
    <xf numFmtId="170" fontId="44" fillId="50" borderId="0" applyNumberFormat="0" applyBorder="0" applyAlignment="0" applyProtection="0"/>
    <xf numFmtId="170" fontId="44" fillId="50" borderId="0" applyNumberFormat="0" applyBorder="0" applyAlignment="0" applyProtection="0"/>
    <xf numFmtId="170" fontId="44" fillId="50" borderId="0" applyNumberFormat="0" applyBorder="0" applyAlignment="0" applyProtection="0"/>
    <xf numFmtId="170" fontId="44" fillId="45" borderId="0" applyNumberFormat="0" applyBorder="0" applyAlignment="0" applyProtection="0"/>
    <xf numFmtId="170" fontId="44" fillId="45" borderId="0" applyNumberFormat="0" applyBorder="0" applyAlignment="0" applyProtection="0"/>
    <xf numFmtId="170" fontId="44" fillId="45" borderId="0" applyNumberFormat="0" applyBorder="0" applyAlignment="0" applyProtection="0"/>
    <xf numFmtId="170" fontId="44" fillId="46" borderId="0" applyNumberFormat="0" applyBorder="0" applyAlignment="0" applyProtection="0"/>
    <xf numFmtId="170" fontId="44" fillId="46" borderId="0" applyNumberFormat="0" applyBorder="0" applyAlignment="0" applyProtection="0"/>
    <xf numFmtId="170" fontId="44" fillId="46" borderId="0" applyNumberFormat="0" applyBorder="0" applyAlignment="0" applyProtection="0"/>
    <xf numFmtId="170" fontId="44" fillId="51" borderId="0" applyNumberFormat="0" applyBorder="0" applyAlignment="0" applyProtection="0"/>
    <xf numFmtId="170" fontId="44" fillId="51" borderId="0" applyNumberFormat="0" applyBorder="0" applyAlignment="0" applyProtection="0"/>
    <xf numFmtId="170" fontId="44" fillId="51" borderId="0" applyNumberFormat="0" applyBorder="0" applyAlignment="0" applyProtection="0"/>
    <xf numFmtId="170" fontId="44" fillId="52" borderId="0" applyNumberFormat="0" applyBorder="0" applyAlignment="0" applyProtection="0"/>
    <xf numFmtId="170" fontId="44" fillId="52" borderId="0" applyNumberFormat="0" applyBorder="0" applyAlignment="0" applyProtection="0"/>
    <xf numFmtId="170" fontId="44" fillId="52" borderId="0" applyNumberFormat="0" applyBorder="0" applyAlignment="0" applyProtection="0"/>
    <xf numFmtId="170" fontId="44" fillId="53" borderId="0" applyNumberFormat="0" applyBorder="0" applyAlignment="0" applyProtection="0"/>
    <xf numFmtId="170" fontId="44" fillId="53" borderId="0" applyNumberFormat="0" applyBorder="0" applyAlignment="0" applyProtection="0"/>
    <xf numFmtId="170" fontId="44" fillId="53" borderId="0" applyNumberFormat="0" applyBorder="0" applyAlignment="0" applyProtection="0"/>
    <xf numFmtId="170" fontId="45" fillId="50" borderId="0" applyNumberFormat="0" applyBorder="0" applyAlignment="0" applyProtection="0"/>
    <xf numFmtId="170" fontId="45" fillId="50" borderId="0" applyNumberFormat="0" applyBorder="0" applyAlignment="0" applyProtection="0"/>
    <xf numFmtId="170" fontId="44" fillId="50" borderId="0" applyNumberFormat="0" applyBorder="0" applyAlignment="0" applyProtection="0"/>
    <xf numFmtId="170" fontId="45" fillId="45" borderId="0" applyNumberFormat="0" applyBorder="0" applyAlignment="0" applyProtection="0"/>
    <xf numFmtId="170" fontId="45" fillId="45" borderId="0" applyNumberFormat="0" applyBorder="0" applyAlignment="0" applyProtection="0"/>
    <xf numFmtId="170" fontId="44" fillId="45" borderId="0" applyNumberFormat="0" applyBorder="0" applyAlignment="0" applyProtection="0"/>
    <xf numFmtId="170" fontId="45" fillId="46" borderId="0" applyNumberFormat="0" applyBorder="0" applyAlignment="0" applyProtection="0"/>
    <xf numFmtId="170" fontId="45" fillId="46" borderId="0" applyNumberFormat="0" applyBorder="0" applyAlignment="0" applyProtection="0"/>
    <xf numFmtId="170" fontId="44" fillId="46" borderId="0" applyNumberFormat="0" applyBorder="0" applyAlignment="0" applyProtection="0"/>
    <xf numFmtId="170" fontId="45" fillId="51" borderId="0" applyNumberFormat="0" applyBorder="0" applyAlignment="0" applyProtection="0"/>
    <xf numFmtId="170" fontId="45" fillId="51" borderId="0" applyNumberFormat="0" applyBorder="0" applyAlignment="0" applyProtection="0"/>
    <xf numFmtId="170" fontId="44" fillId="51" borderId="0" applyNumberFormat="0" applyBorder="0" applyAlignment="0" applyProtection="0"/>
    <xf numFmtId="170" fontId="45" fillId="52" borderId="0" applyNumberFormat="0" applyBorder="0" applyAlignment="0" applyProtection="0"/>
    <xf numFmtId="170" fontId="45" fillId="52" borderId="0" applyNumberFormat="0" applyBorder="0" applyAlignment="0" applyProtection="0"/>
    <xf numFmtId="170" fontId="44" fillId="52" borderId="0" applyNumberFormat="0" applyBorder="0" applyAlignment="0" applyProtection="0"/>
    <xf numFmtId="170" fontId="45" fillId="53" borderId="0" applyNumberFormat="0" applyBorder="0" applyAlignment="0" applyProtection="0"/>
    <xf numFmtId="170" fontId="45" fillId="53" borderId="0" applyNumberFormat="0" applyBorder="0" applyAlignment="0" applyProtection="0"/>
    <xf numFmtId="170" fontId="44" fillId="53" borderId="0" applyNumberFormat="0" applyBorder="0" applyAlignment="0" applyProtection="0"/>
    <xf numFmtId="170" fontId="44" fillId="50" borderId="0" applyNumberFormat="0" applyBorder="0" applyAlignment="0" applyProtection="0"/>
    <xf numFmtId="170" fontId="44" fillId="50" borderId="0" applyNumberFormat="0" applyBorder="0" applyAlignment="0" applyProtection="0"/>
    <xf numFmtId="170" fontId="44" fillId="45" borderId="0" applyNumberFormat="0" applyBorder="0" applyAlignment="0" applyProtection="0"/>
    <xf numFmtId="170" fontId="44" fillId="45" borderId="0" applyNumberFormat="0" applyBorder="0" applyAlignment="0" applyProtection="0"/>
    <xf numFmtId="170" fontId="44" fillId="46" borderId="0" applyNumberFormat="0" applyBorder="0" applyAlignment="0" applyProtection="0"/>
    <xf numFmtId="170" fontId="44" fillId="46" borderId="0" applyNumberFormat="0" applyBorder="0" applyAlignment="0" applyProtection="0"/>
    <xf numFmtId="170" fontId="44" fillId="51" borderId="0" applyNumberFormat="0" applyBorder="0" applyAlignment="0" applyProtection="0"/>
    <xf numFmtId="170" fontId="44" fillId="51" borderId="0" applyNumberFormat="0" applyBorder="0" applyAlignment="0" applyProtection="0"/>
    <xf numFmtId="170" fontId="44" fillId="52" borderId="0" applyNumberFormat="0" applyBorder="0" applyAlignment="0" applyProtection="0"/>
    <xf numFmtId="170" fontId="44" fillId="52" borderId="0" applyNumberFormat="0" applyBorder="0" applyAlignment="0" applyProtection="0"/>
    <xf numFmtId="170" fontId="44" fillId="53" borderId="0" applyNumberFormat="0" applyBorder="0" applyAlignment="0" applyProtection="0"/>
    <xf numFmtId="170" fontId="44" fillId="53" borderId="0" applyNumberFormat="0" applyBorder="0" applyAlignment="0" applyProtection="0"/>
    <xf numFmtId="170" fontId="46" fillId="52" borderId="0" applyNumberFormat="0" applyBorder="0" applyAlignment="0" applyProtection="0"/>
    <xf numFmtId="170" fontId="46" fillId="52" borderId="0" applyNumberFormat="0" applyBorder="0" applyAlignment="0" applyProtection="0"/>
    <xf numFmtId="170" fontId="46" fillId="45" borderId="0" applyNumberFormat="0" applyBorder="0" applyAlignment="0" applyProtection="0"/>
    <xf numFmtId="170" fontId="46" fillId="45" borderId="0" applyNumberFormat="0" applyBorder="0" applyAlignment="0" applyProtection="0"/>
    <xf numFmtId="170" fontId="46" fillId="49" borderId="0" applyNumberFormat="0" applyBorder="0" applyAlignment="0" applyProtection="0"/>
    <xf numFmtId="170" fontId="46" fillId="49" borderId="0" applyNumberFormat="0" applyBorder="0" applyAlignment="0" applyProtection="0"/>
    <xf numFmtId="170" fontId="46" fillId="48" borderId="0" applyNumberFormat="0" applyBorder="0" applyAlignment="0" applyProtection="0"/>
    <xf numFmtId="170" fontId="46" fillId="48" borderId="0" applyNumberFormat="0" applyBorder="0" applyAlignment="0" applyProtection="0"/>
    <xf numFmtId="170" fontId="46" fillId="52" borderId="0" applyNumberFormat="0" applyBorder="0" applyAlignment="0" applyProtection="0"/>
    <xf numFmtId="170" fontId="46" fillId="52" borderId="0" applyNumberFormat="0" applyBorder="0" applyAlignment="0" applyProtection="0"/>
    <xf numFmtId="170" fontId="46" fillId="41" borderId="0" applyNumberFormat="0" applyBorder="0" applyAlignment="0" applyProtection="0"/>
    <xf numFmtId="170" fontId="46" fillId="41" borderId="0" applyNumberFormat="0" applyBorder="0" applyAlignment="0" applyProtection="0"/>
    <xf numFmtId="170" fontId="47" fillId="50" borderId="0" applyNumberFormat="0" applyBorder="0" applyAlignment="0" applyProtection="0"/>
    <xf numFmtId="170" fontId="47" fillId="50" borderId="0" applyNumberFormat="0" applyBorder="0" applyAlignment="0" applyProtection="0"/>
    <xf numFmtId="170" fontId="47" fillId="50" borderId="0" applyNumberFormat="0" applyBorder="0" applyAlignment="0" applyProtection="0"/>
    <xf numFmtId="170" fontId="47" fillId="45" borderId="0" applyNumberFormat="0" applyBorder="0" applyAlignment="0" applyProtection="0"/>
    <xf numFmtId="170" fontId="47" fillId="45" borderId="0" applyNumberFormat="0" applyBorder="0" applyAlignment="0" applyProtection="0"/>
    <xf numFmtId="170" fontId="47" fillId="45" borderId="0" applyNumberFormat="0" applyBorder="0" applyAlignment="0" applyProtection="0"/>
    <xf numFmtId="170" fontId="47" fillId="46" borderId="0" applyNumberFormat="0" applyBorder="0" applyAlignment="0" applyProtection="0"/>
    <xf numFmtId="170" fontId="47" fillId="46" borderId="0" applyNumberFormat="0" applyBorder="0" applyAlignment="0" applyProtection="0"/>
    <xf numFmtId="170" fontId="47" fillId="46" borderId="0" applyNumberFormat="0" applyBorder="0" applyAlignment="0" applyProtection="0"/>
    <xf numFmtId="170" fontId="47" fillId="51" borderId="0" applyNumberFormat="0" applyBorder="0" applyAlignment="0" applyProtection="0"/>
    <xf numFmtId="170" fontId="47" fillId="51" borderId="0" applyNumberFormat="0" applyBorder="0" applyAlignment="0" applyProtection="0"/>
    <xf numFmtId="170" fontId="47" fillId="51" borderId="0" applyNumberFormat="0" applyBorder="0" applyAlignment="0" applyProtection="0"/>
    <xf numFmtId="170" fontId="47" fillId="52" borderId="0" applyNumberFormat="0" applyBorder="0" applyAlignment="0" applyProtection="0"/>
    <xf numFmtId="170" fontId="47" fillId="52" borderId="0" applyNumberFormat="0" applyBorder="0" applyAlignment="0" applyProtection="0"/>
    <xf numFmtId="170" fontId="47" fillId="52" borderId="0" applyNumberFormat="0" applyBorder="0" applyAlignment="0" applyProtection="0"/>
    <xf numFmtId="170" fontId="47" fillId="53" borderId="0" applyNumberFormat="0" applyBorder="0" applyAlignment="0" applyProtection="0"/>
    <xf numFmtId="170" fontId="47" fillId="53" borderId="0" applyNumberFormat="0" applyBorder="0" applyAlignment="0" applyProtection="0"/>
    <xf numFmtId="170" fontId="47" fillId="53" borderId="0" applyNumberFormat="0" applyBorder="0" applyAlignment="0" applyProtection="0"/>
    <xf numFmtId="170" fontId="45" fillId="50" borderId="0" applyNumberFormat="0" applyBorder="0" applyAlignment="0" applyProtection="0"/>
    <xf numFmtId="170" fontId="45" fillId="50" borderId="0" applyNumberFormat="0" applyBorder="0" applyAlignment="0" applyProtection="0"/>
    <xf numFmtId="170" fontId="45" fillId="50" borderId="0" applyNumberFormat="0" applyBorder="0" applyAlignment="0" applyProtection="0"/>
    <xf numFmtId="170" fontId="44" fillId="50" borderId="0" applyNumberFormat="0" applyBorder="0" applyAlignment="0" applyProtection="0"/>
    <xf numFmtId="170" fontId="45" fillId="45" borderId="0" applyNumberFormat="0" applyBorder="0" applyAlignment="0" applyProtection="0"/>
    <xf numFmtId="170" fontId="45" fillId="45" borderId="0" applyNumberFormat="0" applyBorder="0" applyAlignment="0" applyProtection="0"/>
    <xf numFmtId="170" fontId="45" fillId="45" borderId="0" applyNumberFormat="0" applyBorder="0" applyAlignment="0" applyProtection="0"/>
    <xf numFmtId="170" fontId="44" fillId="45" borderId="0" applyNumberFormat="0" applyBorder="0" applyAlignment="0" applyProtection="0"/>
    <xf numFmtId="170" fontId="45" fillId="46" borderId="0" applyNumberFormat="0" applyBorder="0" applyAlignment="0" applyProtection="0"/>
    <xf numFmtId="170" fontId="45" fillId="46" borderId="0" applyNumberFormat="0" applyBorder="0" applyAlignment="0" applyProtection="0"/>
    <xf numFmtId="170" fontId="45" fillId="46" borderId="0" applyNumberFormat="0" applyBorder="0" applyAlignment="0" applyProtection="0"/>
    <xf numFmtId="170" fontId="44" fillId="46" borderId="0" applyNumberFormat="0" applyBorder="0" applyAlignment="0" applyProtection="0"/>
    <xf numFmtId="170" fontId="45" fillId="51" borderId="0" applyNumberFormat="0" applyBorder="0" applyAlignment="0" applyProtection="0"/>
    <xf numFmtId="170" fontId="45" fillId="51" borderId="0" applyNumberFormat="0" applyBorder="0" applyAlignment="0" applyProtection="0"/>
    <xf numFmtId="170" fontId="45" fillId="51" borderId="0" applyNumberFormat="0" applyBorder="0" applyAlignment="0" applyProtection="0"/>
    <xf numFmtId="170" fontId="44" fillId="51" borderId="0" applyNumberFormat="0" applyBorder="0" applyAlignment="0" applyProtection="0"/>
    <xf numFmtId="170" fontId="45" fillId="52" borderId="0" applyNumberFormat="0" applyBorder="0" applyAlignment="0" applyProtection="0"/>
    <xf numFmtId="170" fontId="45" fillId="52" borderId="0" applyNumberFormat="0" applyBorder="0" applyAlignment="0" applyProtection="0"/>
    <xf numFmtId="170" fontId="45" fillId="52" borderId="0" applyNumberFormat="0" applyBorder="0" applyAlignment="0" applyProtection="0"/>
    <xf numFmtId="170" fontId="44" fillId="52" borderId="0" applyNumberFormat="0" applyBorder="0" applyAlignment="0" applyProtection="0"/>
    <xf numFmtId="170" fontId="45" fillId="53" borderId="0" applyNumberFormat="0" applyBorder="0" applyAlignment="0" applyProtection="0"/>
    <xf numFmtId="170" fontId="45" fillId="53" borderId="0" applyNumberFormat="0" applyBorder="0" applyAlignment="0" applyProtection="0"/>
    <xf numFmtId="170" fontId="45" fillId="53" borderId="0" applyNumberFormat="0" applyBorder="0" applyAlignment="0" applyProtection="0"/>
    <xf numFmtId="170" fontId="44" fillId="53" borderId="0" applyNumberFormat="0" applyBorder="0" applyAlignment="0" applyProtection="0"/>
    <xf numFmtId="170" fontId="45" fillId="50" borderId="0" applyNumberFormat="0" applyBorder="0" applyAlignment="0" applyProtection="0"/>
    <xf numFmtId="170" fontId="45" fillId="50" borderId="0" applyNumberFormat="0" applyBorder="0" applyAlignment="0" applyProtection="0"/>
    <xf numFmtId="170" fontId="44" fillId="50" borderId="0" applyNumberFormat="0" applyBorder="0" applyAlignment="0" applyProtection="0"/>
    <xf numFmtId="170" fontId="45" fillId="45" borderId="0" applyNumberFormat="0" applyBorder="0" applyAlignment="0" applyProtection="0"/>
    <xf numFmtId="170" fontId="45" fillId="45" borderId="0" applyNumberFormat="0" applyBorder="0" applyAlignment="0" applyProtection="0"/>
    <xf numFmtId="170" fontId="44" fillId="45" borderId="0" applyNumberFormat="0" applyBorder="0" applyAlignment="0" applyProtection="0"/>
    <xf numFmtId="170" fontId="45" fillId="46" borderId="0" applyNumberFormat="0" applyBorder="0" applyAlignment="0" applyProtection="0"/>
    <xf numFmtId="170" fontId="45" fillId="46" borderId="0" applyNumberFormat="0" applyBorder="0" applyAlignment="0" applyProtection="0"/>
    <xf numFmtId="170" fontId="44" fillId="46" borderId="0" applyNumberFormat="0" applyBorder="0" applyAlignment="0" applyProtection="0"/>
    <xf numFmtId="170" fontId="45" fillId="51" borderId="0" applyNumberFormat="0" applyBorder="0" applyAlignment="0" applyProtection="0"/>
    <xf numFmtId="170" fontId="45" fillId="51" borderId="0" applyNumberFormat="0" applyBorder="0" applyAlignment="0" applyProtection="0"/>
    <xf numFmtId="170" fontId="44" fillId="51" borderId="0" applyNumberFormat="0" applyBorder="0" applyAlignment="0" applyProtection="0"/>
    <xf numFmtId="170" fontId="45" fillId="52" borderId="0" applyNumberFormat="0" applyBorder="0" applyAlignment="0" applyProtection="0"/>
    <xf numFmtId="170" fontId="45" fillId="52" borderId="0" applyNumberFormat="0" applyBorder="0" applyAlignment="0" applyProtection="0"/>
    <xf numFmtId="170" fontId="44" fillId="52" borderId="0" applyNumberFormat="0" applyBorder="0" applyAlignment="0" applyProtection="0"/>
    <xf numFmtId="170" fontId="45" fillId="53" borderId="0" applyNumberFormat="0" applyBorder="0" applyAlignment="0" applyProtection="0"/>
    <xf numFmtId="170" fontId="45" fillId="53" borderId="0" applyNumberFormat="0" applyBorder="0" applyAlignment="0" applyProtection="0"/>
    <xf numFmtId="170" fontId="44" fillId="53" borderId="0" applyNumberFormat="0" applyBorder="0" applyAlignment="0" applyProtection="0"/>
    <xf numFmtId="172" fontId="26" fillId="54" borderId="0"/>
    <xf numFmtId="172" fontId="26" fillId="54" borderId="0"/>
    <xf numFmtId="172" fontId="26" fillId="54" borderId="0"/>
    <xf numFmtId="172" fontId="26" fillId="54" borderId="0"/>
    <xf numFmtId="172" fontId="26" fillId="54" borderId="0"/>
    <xf numFmtId="170" fontId="46" fillId="52" borderId="0" applyNumberFormat="0" applyBorder="0" applyAlignment="0" applyProtection="0"/>
    <xf numFmtId="170" fontId="41" fillId="55" borderId="0" applyNumberFormat="0" applyBorder="0" applyAlignment="0" applyProtection="0"/>
    <xf numFmtId="170" fontId="41" fillId="55" borderId="0" applyNumberFormat="0" applyBorder="0" applyAlignment="0" applyProtection="0"/>
    <xf numFmtId="170" fontId="28" fillId="55" borderId="0" applyNumberFormat="0" applyBorder="0" applyAlignment="0" applyProtection="0"/>
    <xf numFmtId="170" fontId="41" fillId="56" borderId="0" applyNumberFormat="0" applyBorder="0" applyAlignment="0" applyProtection="0"/>
    <xf numFmtId="170" fontId="41" fillId="56" borderId="0" applyNumberFormat="0" applyBorder="0" applyAlignment="0" applyProtection="0"/>
    <xf numFmtId="170" fontId="28" fillId="56" borderId="0" applyNumberFormat="0" applyBorder="0" applyAlignment="0" applyProtection="0"/>
    <xf numFmtId="170" fontId="45" fillId="57" borderId="0" applyNumberFormat="0" applyBorder="0" applyAlignment="0" applyProtection="0"/>
    <xf numFmtId="170" fontId="45" fillId="57" borderId="0" applyNumberFormat="0" applyBorder="0" applyAlignment="0" applyProtection="0"/>
    <xf numFmtId="170" fontId="44" fillId="57" borderId="0" applyNumberFormat="0" applyBorder="0" applyAlignment="0" applyProtection="0"/>
    <xf numFmtId="170" fontId="46" fillId="52" borderId="0" applyNumberFormat="0" applyBorder="0" applyAlignment="0" applyProtection="0"/>
    <xf numFmtId="170" fontId="45" fillId="58" borderId="0" applyNumberFormat="0" applyBorder="0" applyAlignment="0" applyProtection="0"/>
    <xf numFmtId="170" fontId="46" fillId="59" borderId="0" applyNumberFormat="0" applyBorder="0" applyAlignment="0" applyProtection="0"/>
    <xf numFmtId="170" fontId="41" fillId="60" borderId="0" applyNumberFormat="0" applyBorder="0" applyAlignment="0" applyProtection="0"/>
    <xf numFmtId="170" fontId="41" fillId="60" borderId="0" applyNumberFormat="0" applyBorder="0" applyAlignment="0" applyProtection="0"/>
    <xf numFmtId="170" fontId="28" fillId="60" borderId="0" applyNumberFormat="0" applyBorder="0" applyAlignment="0" applyProtection="0"/>
    <xf numFmtId="170" fontId="41" fillId="61" borderId="0" applyNumberFormat="0" applyBorder="0" applyAlignment="0" applyProtection="0"/>
    <xf numFmtId="170" fontId="41" fillId="61" borderId="0" applyNumberFormat="0" applyBorder="0" applyAlignment="0" applyProtection="0"/>
    <xf numFmtId="170" fontId="28" fillId="61" borderId="0" applyNumberFormat="0" applyBorder="0" applyAlignment="0" applyProtection="0"/>
    <xf numFmtId="170" fontId="45" fillId="62" borderId="0" applyNumberFormat="0" applyBorder="0" applyAlignment="0" applyProtection="0"/>
    <xf numFmtId="170" fontId="45" fillId="62" borderId="0" applyNumberFormat="0" applyBorder="0" applyAlignment="0" applyProtection="0"/>
    <xf numFmtId="170" fontId="44" fillId="62" borderId="0" applyNumberFormat="0" applyBorder="0" applyAlignment="0" applyProtection="0"/>
    <xf numFmtId="170" fontId="46" fillId="59" borderId="0" applyNumberFormat="0" applyBorder="0" applyAlignment="0" applyProtection="0"/>
    <xf numFmtId="170" fontId="45" fillId="63" borderId="0" applyNumberFormat="0" applyBorder="0" applyAlignment="0" applyProtection="0"/>
    <xf numFmtId="170" fontId="46" fillId="64" borderId="0" applyNumberFormat="0" applyBorder="0" applyAlignment="0" applyProtection="0"/>
    <xf numFmtId="170" fontId="41" fillId="65" borderId="0" applyNumberFormat="0" applyBorder="0" applyAlignment="0" applyProtection="0"/>
    <xf numFmtId="170" fontId="41" fillId="65" borderId="0" applyNumberFormat="0" applyBorder="0" applyAlignment="0" applyProtection="0"/>
    <xf numFmtId="170" fontId="28" fillId="65" borderId="0" applyNumberFormat="0" applyBorder="0" applyAlignment="0" applyProtection="0"/>
    <xf numFmtId="170" fontId="41" fillId="66" borderId="0" applyNumberFormat="0" applyBorder="0" applyAlignment="0" applyProtection="0"/>
    <xf numFmtId="170" fontId="41" fillId="66" borderId="0" applyNumberFormat="0" applyBorder="0" applyAlignment="0" applyProtection="0"/>
    <xf numFmtId="170" fontId="28" fillId="66" borderId="0" applyNumberFormat="0" applyBorder="0" applyAlignment="0" applyProtection="0"/>
    <xf numFmtId="170" fontId="45" fillId="67" borderId="0" applyNumberFormat="0" applyBorder="0" applyAlignment="0" applyProtection="0"/>
    <xf numFmtId="170" fontId="45" fillId="67" borderId="0" applyNumberFormat="0" applyBorder="0" applyAlignment="0" applyProtection="0"/>
    <xf numFmtId="170" fontId="44" fillId="67" borderId="0" applyNumberFormat="0" applyBorder="0" applyAlignment="0" applyProtection="0"/>
    <xf numFmtId="170" fontId="46" fillId="64" borderId="0" applyNumberFormat="0" applyBorder="0" applyAlignment="0" applyProtection="0"/>
    <xf numFmtId="170" fontId="45" fillId="62" borderId="0" applyNumberFormat="0" applyBorder="0" applyAlignment="0" applyProtection="0"/>
    <xf numFmtId="170" fontId="46" fillId="68" borderId="0" applyNumberFormat="0" applyBorder="0" applyAlignment="0" applyProtection="0"/>
    <xf numFmtId="170" fontId="41" fillId="66" borderId="0" applyNumberFormat="0" applyBorder="0" applyAlignment="0" applyProtection="0"/>
    <xf numFmtId="170" fontId="41" fillId="66" borderId="0" applyNumberFormat="0" applyBorder="0" applyAlignment="0" applyProtection="0"/>
    <xf numFmtId="170" fontId="28" fillId="66" borderId="0" applyNumberFormat="0" applyBorder="0" applyAlignment="0" applyProtection="0"/>
    <xf numFmtId="170" fontId="41" fillId="67" borderId="0" applyNumberFormat="0" applyBorder="0" applyAlignment="0" applyProtection="0"/>
    <xf numFmtId="170" fontId="41" fillId="67" borderId="0" applyNumberFormat="0" applyBorder="0" applyAlignment="0" applyProtection="0"/>
    <xf numFmtId="170" fontId="28" fillId="67" borderId="0" applyNumberFormat="0" applyBorder="0" applyAlignment="0" applyProtection="0"/>
    <xf numFmtId="170" fontId="45" fillId="67" borderId="0" applyNumberFormat="0" applyBorder="0" applyAlignment="0" applyProtection="0"/>
    <xf numFmtId="170" fontId="45" fillId="67" borderId="0" applyNumberFormat="0" applyBorder="0" applyAlignment="0" applyProtection="0"/>
    <xf numFmtId="170" fontId="44" fillId="67" borderId="0" applyNumberFormat="0" applyBorder="0" applyAlignment="0" applyProtection="0"/>
    <xf numFmtId="170" fontId="46" fillId="68" borderId="0" applyNumberFormat="0" applyBorder="0" applyAlignment="0" applyProtection="0"/>
    <xf numFmtId="170" fontId="45" fillId="69" borderId="0" applyNumberFormat="0" applyBorder="0" applyAlignment="0" applyProtection="0"/>
    <xf numFmtId="170" fontId="46" fillId="52" borderId="0" applyNumberFormat="0" applyBorder="0" applyAlignment="0" applyProtection="0"/>
    <xf numFmtId="170" fontId="41" fillId="55" borderId="0" applyNumberFormat="0" applyBorder="0" applyAlignment="0" applyProtection="0"/>
    <xf numFmtId="170" fontId="41" fillId="55" borderId="0" applyNumberFormat="0" applyBorder="0" applyAlignment="0" applyProtection="0"/>
    <xf numFmtId="170" fontId="28" fillId="55" borderId="0" applyNumberFormat="0" applyBorder="0" applyAlignment="0" applyProtection="0"/>
    <xf numFmtId="170" fontId="41" fillId="56" borderId="0" applyNumberFormat="0" applyBorder="0" applyAlignment="0" applyProtection="0"/>
    <xf numFmtId="170" fontId="41" fillId="56" borderId="0" applyNumberFormat="0" applyBorder="0" applyAlignment="0" applyProtection="0"/>
    <xf numFmtId="170" fontId="28" fillId="56" borderId="0" applyNumberFormat="0" applyBorder="0" applyAlignment="0" applyProtection="0"/>
    <xf numFmtId="170" fontId="45" fillId="56" borderId="0" applyNumberFormat="0" applyBorder="0" applyAlignment="0" applyProtection="0"/>
    <xf numFmtId="170" fontId="45" fillId="56" borderId="0" applyNumberFormat="0" applyBorder="0" applyAlignment="0" applyProtection="0"/>
    <xf numFmtId="170" fontId="44" fillId="56" borderId="0" applyNumberFormat="0" applyBorder="0" applyAlignment="0" applyProtection="0"/>
    <xf numFmtId="170" fontId="46" fillId="52" borderId="0" applyNumberFormat="0" applyBorder="0" applyAlignment="0" applyProtection="0"/>
    <xf numFmtId="170" fontId="45" fillId="70" borderId="0" applyNumberFormat="0" applyBorder="0" applyAlignment="0" applyProtection="0"/>
    <xf numFmtId="170" fontId="46" fillId="71" borderId="0" applyNumberFormat="0" applyBorder="0" applyAlignment="0" applyProtection="0"/>
    <xf numFmtId="170" fontId="41" fillId="72" borderId="0" applyNumberFormat="0" applyBorder="0" applyAlignment="0" applyProtection="0"/>
    <xf numFmtId="170" fontId="41" fillId="72" borderId="0" applyNumberFormat="0" applyBorder="0" applyAlignment="0" applyProtection="0"/>
    <xf numFmtId="170" fontId="28" fillId="72" borderId="0" applyNumberFormat="0" applyBorder="0" applyAlignment="0" applyProtection="0"/>
    <xf numFmtId="170" fontId="41" fillId="61" borderId="0" applyNumberFormat="0" applyBorder="0" applyAlignment="0" applyProtection="0"/>
    <xf numFmtId="170" fontId="41" fillId="61" borderId="0" applyNumberFormat="0" applyBorder="0" applyAlignment="0" applyProtection="0"/>
    <xf numFmtId="170" fontId="28" fillId="61" borderId="0" applyNumberFormat="0" applyBorder="0" applyAlignment="0" applyProtection="0"/>
    <xf numFmtId="170" fontId="45" fillId="73" borderId="0" applyNumberFormat="0" applyBorder="0" applyAlignment="0" applyProtection="0"/>
    <xf numFmtId="170" fontId="45" fillId="73" borderId="0" applyNumberFormat="0" applyBorder="0" applyAlignment="0" applyProtection="0"/>
    <xf numFmtId="170" fontId="44" fillId="73" borderId="0" applyNumberFormat="0" applyBorder="0" applyAlignment="0" applyProtection="0"/>
    <xf numFmtId="170" fontId="46" fillId="71" borderId="0" applyNumberFormat="0" applyBorder="0" applyAlignment="0" applyProtection="0"/>
    <xf numFmtId="170" fontId="45" fillId="74" borderId="0" applyNumberFormat="0" applyBorder="0" applyAlignment="0" applyProtection="0"/>
    <xf numFmtId="173" fontId="34" fillId="35" borderId="21">
      <alignment horizontal="center" vertical="center"/>
    </xf>
    <xf numFmtId="170" fontId="47" fillId="75" borderId="0" applyNumberFormat="0" applyBorder="0" applyAlignment="0" applyProtection="0"/>
    <xf numFmtId="170" fontId="47" fillId="75" borderId="0" applyNumberFormat="0" applyBorder="0" applyAlignment="0" applyProtection="0"/>
    <xf numFmtId="170" fontId="47" fillId="75" borderId="0" applyNumberFormat="0" applyBorder="0" applyAlignment="0" applyProtection="0"/>
    <xf numFmtId="170" fontId="47" fillId="59" borderId="0" applyNumberFormat="0" applyBorder="0" applyAlignment="0" applyProtection="0"/>
    <xf numFmtId="170" fontId="47" fillId="59" borderId="0" applyNumberFormat="0" applyBorder="0" applyAlignment="0" applyProtection="0"/>
    <xf numFmtId="170" fontId="47" fillId="59" borderId="0" applyNumberFormat="0" applyBorder="0" applyAlignment="0" applyProtection="0"/>
    <xf numFmtId="170" fontId="47" fillId="64" borderId="0" applyNumberFormat="0" applyBorder="0" applyAlignment="0" applyProtection="0"/>
    <xf numFmtId="170" fontId="47" fillId="64" borderId="0" applyNumberFormat="0" applyBorder="0" applyAlignment="0" applyProtection="0"/>
    <xf numFmtId="170" fontId="47" fillId="64" borderId="0" applyNumberFormat="0" applyBorder="0" applyAlignment="0" applyProtection="0"/>
    <xf numFmtId="170" fontId="47" fillId="51" borderId="0" applyNumberFormat="0" applyBorder="0" applyAlignment="0" applyProtection="0"/>
    <xf numFmtId="170" fontId="47" fillId="51" borderId="0" applyNumberFormat="0" applyBorder="0" applyAlignment="0" applyProtection="0"/>
    <xf numFmtId="170" fontId="47" fillId="51" borderId="0" applyNumberFormat="0" applyBorder="0" applyAlignment="0" applyProtection="0"/>
    <xf numFmtId="170" fontId="47" fillId="52" borderId="0" applyNumberFormat="0" applyBorder="0" applyAlignment="0" applyProtection="0"/>
    <xf numFmtId="170" fontId="47" fillId="52" borderId="0" applyNumberFormat="0" applyBorder="0" applyAlignment="0" applyProtection="0"/>
    <xf numFmtId="170" fontId="47" fillId="52" borderId="0" applyNumberFormat="0" applyBorder="0" applyAlignment="0" applyProtection="0"/>
    <xf numFmtId="170" fontId="47" fillId="71" borderId="0" applyNumberFormat="0" applyBorder="0" applyAlignment="0" applyProtection="0"/>
    <xf numFmtId="170" fontId="47" fillId="71" borderId="0" applyNumberFormat="0" applyBorder="0" applyAlignment="0" applyProtection="0"/>
    <xf numFmtId="170" fontId="47" fillId="71" borderId="0" applyNumberFormat="0" applyBorder="0" applyAlignment="0" applyProtection="0"/>
    <xf numFmtId="170" fontId="45" fillId="75" borderId="0" applyNumberFormat="0" applyBorder="0" applyAlignment="0" applyProtection="0"/>
    <xf numFmtId="170" fontId="45" fillId="75" borderId="0" applyNumberFormat="0" applyBorder="0" applyAlignment="0" applyProtection="0"/>
    <xf numFmtId="170" fontId="45" fillId="75" borderId="0" applyNumberFormat="0" applyBorder="0" applyAlignment="0" applyProtection="0"/>
    <xf numFmtId="170" fontId="44" fillId="75" borderId="0" applyNumberFormat="0" applyBorder="0" applyAlignment="0" applyProtection="0"/>
    <xf numFmtId="170" fontId="45" fillId="59" borderId="0" applyNumberFormat="0" applyBorder="0" applyAlignment="0" applyProtection="0"/>
    <xf numFmtId="170" fontId="45" fillId="59" borderId="0" applyNumberFormat="0" applyBorder="0" applyAlignment="0" applyProtection="0"/>
    <xf numFmtId="170" fontId="45" fillId="59" borderId="0" applyNumberFormat="0" applyBorder="0" applyAlignment="0" applyProtection="0"/>
    <xf numFmtId="170" fontId="44" fillId="59" borderId="0" applyNumberFormat="0" applyBorder="0" applyAlignment="0" applyProtection="0"/>
    <xf numFmtId="170" fontId="45" fillId="64" borderId="0" applyNumberFormat="0" applyBorder="0" applyAlignment="0" applyProtection="0"/>
    <xf numFmtId="170" fontId="45" fillId="64" borderId="0" applyNumberFormat="0" applyBorder="0" applyAlignment="0" applyProtection="0"/>
    <xf numFmtId="170" fontId="45" fillId="64" borderId="0" applyNumberFormat="0" applyBorder="0" applyAlignment="0" applyProtection="0"/>
    <xf numFmtId="170" fontId="44" fillId="64" borderId="0" applyNumberFormat="0" applyBorder="0" applyAlignment="0" applyProtection="0"/>
    <xf numFmtId="170" fontId="45" fillId="51" borderId="0" applyNumberFormat="0" applyBorder="0" applyAlignment="0" applyProtection="0"/>
    <xf numFmtId="170" fontId="45" fillId="51" borderId="0" applyNumberFormat="0" applyBorder="0" applyAlignment="0" applyProtection="0"/>
    <xf numFmtId="170" fontId="45" fillId="51" borderId="0" applyNumberFormat="0" applyBorder="0" applyAlignment="0" applyProtection="0"/>
    <xf numFmtId="170" fontId="44" fillId="51" borderId="0" applyNumberFormat="0" applyBorder="0" applyAlignment="0" applyProtection="0"/>
    <xf numFmtId="170" fontId="45" fillId="52" borderId="0" applyNumberFormat="0" applyBorder="0" applyAlignment="0" applyProtection="0"/>
    <xf numFmtId="170" fontId="45" fillId="52" borderId="0" applyNumberFormat="0" applyBorder="0" applyAlignment="0" applyProtection="0"/>
    <xf numFmtId="170" fontId="45" fillId="52" borderId="0" applyNumberFormat="0" applyBorder="0" applyAlignment="0" applyProtection="0"/>
    <xf numFmtId="170" fontId="44" fillId="52" borderId="0" applyNumberFormat="0" applyBorder="0" applyAlignment="0" applyProtection="0"/>
    <xf numFmtId="170" fontId="45" fillId="71" borderId="0" applyNumberFormat="0" applyBorder="0" applyAlignment="0" applyProtection="0"/>
    <xf numFmtId="170" fontId="45" fillId="71" borderId="0" applyNumberFormat="0" applyBorder="0" applyAlignment="0" applyProtection="0"/>
    <xf numFmtId="170" fontId="45" fillId="71" borderId="0" applyNumberFormat="0" applyBorder="0" applyAlignment="0" applyProtection="0"/>
    <xf numFmtId="170" fontId="44" fillId="71" borderId="0" applyNumberFormat="0" applyBorder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48" fillId="0" borderId="0">
      <alignment horizontal="center" wrapText="1"/>
      <protection locked="0"/>
    </xf>
    <xf numFmtId="170" fontId="48" fillId="0" borderId="0">
      <alignment horizontal="center" wrapText="1"/>
      <protection locked="0"/>
    </xf>
    <xf numFmtId="170" fontId="48" fillId="0" borderId="0">
      <alignment horizontal="center" wrapText="1"/>
      <protection locked="0"/>
    </xf>
    <xf numFmtId="170" fontId="49" fillId="48" borderId="23" applyNumberFormat="0" applyAlignment="0" applyProtection="0"/>
    <xf numFmtId="170" fontId="49" fillId="48" borderId="23" applyNumberFormat="0" applyAlignment="0" applyProtection="0"/>
    <xf numFmtId="170" fontId="49" fillId="48" borderId="23" applyNumberFormat="0" applyAlignment="0" applyProtection="0"/>
    <xf numFmtId="170" fontId="50" fillId="48" borderId="23" applyNumberFormat="0" applyAlignment="0" applyProtection="0"/>
    <xf numFmtId="170" fontId="51" fillId="0" borderId="0" applyNumberFormat="0" applyFill="0" applyBorder="0" applyAlignment="0" applyProtection="0"/>
    <xf numFmtId="170" fontId="51" fillId="0" borderId="0" applyNumberFormat="0" applyFill="0" applyBorder="0" applyAlignment="0" applyProtection="0"/>
    <xf numFmtId="170" fontId="52" fillId="0" borderId="0" applyNumberFormat="0" applyFill="0" applyBorder="0" applyAlignment="0" applyProtection="0"/>
    <xf numFmtId="170" fontId="53" fillId="37" borderId="0" applyNumberFormat="0" applyBorder="0" applyAlignment="0" applyProtection="0"/>
    <xf numFmtId="170" fontId="53" fillId="37" borderId="0" applyNumberFormat="0" applyBorder="0" applyAlignment="0" applyProtection="0"/>
    <xf numFmtId="170" fontId="54" fillId="48" borderId="24" applyNumberFormat="0" applyAlignment="0" applyProtection="0"/>
    <xf numFmtId="170" fontId="54" fillId="48" borderId="24" applyNumberFormat="0" applyAlignment="0" applyProtection="0"/>
    <xf numFmtId="170" fontId="55" fillId="48" borderId="24" applyNumberFormat="0" applyAlignment="0" applyProtection="0"/>
    <xf numFmtId="170" fontId="54" fillId="48" borderId="24" applyNumberFormat="0" applyAlignment="0" applyProtection="0"/>
    <xf numFmtId="170" fontId="54" fillId="48" borderId="24" applyNumberFormat="0" applyAlignment="0" applyProtection="0"/>
    <xf numFmtId="170" fontId="54" fillId="48" borderId="24" applyNumberFormat="0" applyAlignment="0" applyProtection="0"/>
    <xf numFmtId="170" fontId="55" fillId="48" borderId="24" applyNumberFormat="0" applyAlignment="0" applyProtection="0"/>
    <xf numFmtId="170" fontId="56" fillId="41" borderId="24" applyNumberFormat="0" applyAlignment="0" applyProtection="0"/>
    <xf numFmtId="170" fontId="56" fillId="41" borderId="24" applyNumberFormat="0" applyAlignment="0" applyProtection="0"/>
    <xf numFmtId="170" fontId="57" fillId="0" borderId="0" applyNumberFormat="0" applyFill="0" applyBorder="0" applyAlignment="0" applyProtection="0"/>
    <xf numFmtId="170" fontId="57" fillId="0" borderId="0" applyNumberFormat="0" applyFill="0" applyBorder="0" applyAlignment="0" applyProtection="0"/>
    <xf numFmtId="170" fontId="58" fillId="0" borderId="0" applyNumberFormat="0" applyFill="0" applyBorder="0" applyAlignment="0" applyProtection="0"/>
    <xf numFmtId="174" fontId="59" fillId="0" borderId="20" applyAlignment="0" applyProtection="0"/>
    <xf numFmtId="170" fontId="60" fillId="38" borderId="0" applyNumberFormat="0" applyBorder="0" applyAlignment="0" applyProtection="0"/>
    <xf numFmtId="170" fontId="60" fillId="38" borderId="0" applyNumberFormat="0" applyBorder="0" applyAlignment="0" applyProtection="0"/>
    <xf numFmtId="170" fontId="61" fillId="38" borderId="0" applyNumberFormat="0" applyBorder="0" applyAlignment="0" applyProtection="0"/>
    <xf numFmtId="175" fontId="26" fillId="0" borderId="0" applyFill="0" applyBorder="0" applyAlignment="0"/>
    <xf numFmtId="175" fontId="26" fillId="0" borderId="0" applyFill="0" applyBorder="0" applyAlignment="0"/>
    <xf numFmtId="175" fontId="26" fillId="0" borderId="0" applyFill="0" applyBorder="0" applyAlignment="0"/>
    <xf numFmtId="175" fontId="26" fillId="0" borderId="0" applyFill="0" applyBorder="0" applyAlignment="0"/>
    <xf numFmtId="175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0" fontId="54" fillId="48" borderId="24" applyNumberFormat="0" applyAlignment="0" applyProtection="0"/>
    <xf numFmtId="170" fontId="54" fillId="48" borderId="24" applyNumberFormat="0" applyAlignment="0" applyProtection="0"/>
    <xf numFmtId="170" fontId="55" fillId="48" borderId="24" applyNumberFormat="0" applyAlignment="0" applyProtection="0"/>
    <xf numFmtId="170" fontId="62" fillId="42" borderId="24" applyNumberFormat="0" applyAlignment="0" applyProtection="0"/>
    <xf numFmtId="170" fontId="62" fillId="42" borderId="24" applyNumberFormat="0" applyAlignment="0" applyProtection="0"/>
    <xf numFmtId="170" fontId="63" fillId="0" borderId="0"/>
    <xf numFmtId="170" fontId="63" fillId="0" borderId="0"/>
    <xf numFmtId="170" fontId="64" fillId="0" borderId="0"/>
    <xf numFmtId="177" fontId="65" fillId="0" borderId="0"/>
    <xf numFmtId="177" fontId="65" fillId="76" borderId="0"/>
    <xf numFmtId="177" fontId="65" fillId="1" borderId="0"/>
    <xf numFmtId="170" fontId="32" fillId="0" borderId="25" applyNumberFormat="0" applyFill="0" applyAlignment="0" applyProtection="0"/>
    <xf numFmtId="170" fontId="32" fillId="0" borderId="25" applyNumberFormat="0" applyFill="0" applyAlignment="0" applyProtection="0"/>
    <xf numFmtId="170" fontId="32" fillId="0" borderId="25" applyNumberFormat="0" applyFill="0" applyAlignment="0" applyProtection="0"/>
    <xf numFmtId="170" fontId="32" fillId="0" borderId="25" applyNumberFormat="0" applyFill="0" applyAlignment="0" applyProtection="0"/>
    <xf numFmtId="170" fontId="32" fillId="0" borderId="25" applyNumberFormat="0" applyFill="0" applyAlignment="0" applyProtection="0"/>
    <xf numFmtId="170" fontId="32" fillId="0" borderId="25" applyNumberFormat="0" applyFill="0" applyAlignment="0" applyProtection="0"/>
    <xf numFmtId="170" fontId="66" fillId="0" borderId="26" applyNumberFormat="0" applyFill="0" applyAlignment="0" applyProtection="0"/>
    <xf numFmtId="170" fontId="66" fillId="0" borderId="26" applyNumberFormat="0" applyFill="0" applyAlignment="0" applyProtection="0"/>
    <xf numFmtId="170" fontId="67" fillId="0" borderId="26" applyNumberFormat="0" applyFill="0" applyAlignment="0" applyProtection="0"/>
    <xf numFmtId="170" fontId="68" fillId="77" borderId="27" applyNumberFormat="0" applyAlignment="0" applyProtection="0"/>
    <xf numFmtId="170" fontId="68" fillId="77" borderId="27" applyNumberFormat="0" applyAlignment="0" applyProtection="0"/>
    <xf numFmtId="170" fontId="69" fillId="37" borderId="0" applyNumberFormat="0" applyBorder="0" applyAlignment="0" applyProtection="0"/>
    <xf numFmtId="170" fontId="69" fillId="37" borderId="0" applyNumberFormat="0" applyBorder="0" applyAlignment="0" applyProtection="0"/>
    <xf numFmtId="170" fontId="69" fillId="37" borderId="0" applyNumberFormat="0" applyBorder="0" applyAlignment="0" applyProtection="0"/>
    <xf numFmtId="170" fontId="70" fillId="0" borderId="0" applyNumberFormat="0" applyFill="0" applyBorder="0" applyAlignment="0" applyProtection="0"/>
    <xf numFmtId="170" fontId="70" fillId="0" borderId="0" applyNumberFormat="0" applyFill="0" applyBorder="0" applyAlignment="0" applyProtection="0"/>
    <xf numFmtId="170" fontId="71" fillId="0" borderId="28" applyNumberFormat="0" applyFill="0" applyAlignment="0" applyProtection="0"/>
    <xf numFmtId="170" fontId="71" fillId="0" borderId="28" applyNumberFormat="0" applyFill="0" applyAlignment="0" applyProtection="0"/>
    <xf numFmtId="170" fontId="72" fillId="0" borderId="29" applyNumberFormat="0" applyFill="0" applyAlignment="0" applyProtection="0"/>
    <xf numFmtId="170" fontId="72" fillId="0" borderId="29" applyNumberFormat="0" applyFill="0" applyAlignment="0" applyProtection="0"/>
    <xf numFmtId="170" fontId="73" fillId="0" borderId="30" applyNumberFormat="0" applyFill="0" applyAlignment="0" applyProtection="0"/>
    <xf numFmtId="170" fontId="73" fillId="0" borderId="30" applyNumberFormat="0" applyFill="0" applyAlignment="0" applyProtection="0"/>
    <xf numFmtId="170" fontId="73" fillId="0" borderId="0" applyNumberFormat="0" applyFill="0" applyBorder="0" applyAlignment="0" applyProtection="0"/>
    <xf numFmtId="170" fontId="73" fillId="0" borderId="0" applyNumberFormat="0" applyFill="0" applyBorder="0" applyAlignment="0" applyProtection="0"/>
    <xf numFmtId="178" fontId="74" fillId="0" borderId="3"/>
    <xf numFmtId="179" fontId="65" fillId="0" borderId="3"/>
    <xf numFmtId="170" fontId="75" fillId="0" borderId="2">
      <alignment horizontal="center"/>
    </xf>
    <xf numFmtId="164" fontId="76" fillId="0" borderId="0"/>
    <xf numFmtId="164" fontId="76" fillId="0" borderId="0"/>
    <xf numFmtId="164" fontId="76" fillId="0" borderId="0"/>
    <xf numFmtId="164" fontId="76" fillId="0" borderId="0"/>
    <xf numFmtId="164" fontId="76" fillId="0" borderId="0"/>
    <xf numFmtId="164" fontId="76" fillId="0" borderId="0"/>
    <xf numFmtId="164" fontId="76" fillId="0" borderId="0"/>
    <xf numFmtId="164" fontId="76" fillId="0" borderId="0"/>
    <xf numFmtId="180" fontId="26" fillId="0" borderId="0" applyFont="0" applyFill="0" applyBorder="0" applyAlignment="0" applyProtection="0"/>
    <xf numFmtId="180" fontId="26" fillId="0" borderId="0" applyFont="0" applyFill="0" applyBorder="0" applyAlignment="0" applyProtection="0"/>
    <xf numFmtId="180" fontId="26" fillId="0" borderId="0" applyFont="0" applyFill="0" applyBorder="0" applyAlignment="0" applyProtection="0"/>
    <xf numFmtId="180" fontId="26" fillId="0" borderId="0" applyFont="0" applyFill="0" applyBorder="0" applyAlignment="0" applyProtection="0"/>
    <xf numFmtId="168" fontId="43" fillId="0" borderId="0" applyFont="0" applyFill="0" applyBorder="0" applyAlignment="0" applyProtection="0"/>
    <xf numFmtId="168" fontId="43" fillId="0" borderId="0" applyFont="0" applyFill="0" applyBorder="0" applyAlignment="0" applyProtection="0"/>
    <xf numFmtId="166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170" fontId="39" fillId="0" borderId="0"/>
    <xf numFmtId="170" fontId="39" fillId="0" borderId="0"/>
    <xf numFmtId="170" fontId="40" fillId="0" borderId="0"/>
    <xf numFmtId="170" fontId="39" fillId="0" borderId="0"/>
    <xf numFmtId="170" fontId="39" fillId="0" borderId="0"/>
    <xf numFmtId="170" fontId="40" fillId="0" borderId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170" fontId="39" fillId="0" borderId="0"/>
    <xf numFmtId="170" fontId="39" fillId="0" borderId="0"/>
    <xf numFmtId="170" fontId="40" fillId="0" borderId="0"/>
    <xf numFmtId="170" fontId="77" fillId="43" borderId="22" applyNumberFormat="0" applyFont="0" applyAlignment="0" applyProtection="0"/>
    <xf numFmtId="170" fontId="77" fillId="43" borderId="22" applyNumberFormat="0" applyFont="0" applyAlignment="0" applyProtection="0"/>
    <xf numFmtId="170" fontId="78" fillId="0" borderId="0" applyNumberFormat="0" applyAlignment="0">
      <alignment horizontal="left"/>
    </xf>
    <xf numFmtId="170" fontId="78" fillId="0" borderId="0" applyNumberFormat="0" applyAlignment="0">
      <alignment horizontal="left"/>
    </xf>
    <xf numFmtId="170" fontId="65" fillId="0" borderId="0"/>
    <xf numFmtId="170" fontId="65" fillId="0" borderId="0"/>
    <xf numFmtId="170" fontId="79" fillId="0" borderId="0"/>
    <xf numFmtId="170" fontId="65" fillId="76" borderId="0">
      <alignment horizontal="center"/>
    </xf>
    <xf numFmtId="170" fontId="65" fillId="76" borderId="0">
      <alignment horizontal="center"/>
    </xf>
    <xf numFmtId="170" fontId="79" fillId="76" borderId="0">
      <alignment horizontal="center"/>
    </xf>
    <xf numFmtId="170" fontId="65" fillId="0" borderId="0">
      <alignment horizontal="center"/>
    </xf>
    <xf numFmtId="170" fontId="65" fillId="0" borderId="0">
      <alignment horizontal="center"/>
    </xf>
    <xf numFmtId="170" fontId="79" fillId="0" borderId="0">
      <alignment horizontal="center"/>
    </xf>
    <xf numFmtId="170" fontId="65" fillId="76" borderId="0">
      <alignment horizontal="center"/>
    </xf>
    <xf numFmtId="170" fontId="65" fillId="76" borderId="0">
      <alignment horizontal="center"/>
    </xf>
    <xf numFmtId="170" fontId="79" fillId="76" borderId="0">
      <alignment horizontal="center"/>
    </xf>
    <xf numFmtId="170" fontId="65" fillId="1" borderId="0">
      <alignment horizontal="center"/>
    </xf>
    <xf numFmtId="170" fontId="65" fillId="1" borderId="0">
      <alignment horizontal="center"/>
    </xf>
    <xf numFmtId="170" fontId="79" fillId="1" borderId="0">
      <alignment horizontal="center"/>
    </xf>
    <xf numFmtId="170" fontId="80" fillId="0" borderId="0"/>
    <xf numFmtId="170" fontId="80" fillId="0" borderId="0"/>
    <xf numFmtId="170" fontId="81" fillId="0" borderId="0"/>
    <xf numFmtId="170" fontId="39" fillId="0" borderId="0"/>
    <xf numFmtId="170" fontId="39" fillId="0" borderId="0"/>
    <xf numFmtId="170" fontId="40" fillId="0" borderId="0"/>
    <xf numFmtId="170" fontId="39" fillId="0" borderId="0"/>
    <xf numFmtId="170" fontId="39" fillId="0" borderId="0"/>
    <xf numFmtId="170" fontId="40" fillId="0" borderId="0"/>
    <xf numFmtId="181" fontId="31" fillId="0" borderId="0">
      <alignment horizontal="center"/>
    </xf>
    <xf numFmtId="176" fontId="26" fillId="0" borderId="0" applyFont="0" applyFill="0" applyBorder="0" applyAlignment="0" applyProtection="0"/>
    <xf numFmtId="176" fontId="26" fillId="0" borderId="0" applyFont="0" applyFill="0" applyBorder="0" applyAlignment="0" applyProtection="0"/>
    <xf numFmtId="176" fontId="26" fillId="0" borderId="0" applyFont="0" applyFill="0" applyBorder="0" applyAlignment="0" applyProtection="0"/>
    <xf numFmtId="176" fontId="26" fillId="0" borderId="0" applyFont="0" applyFill="0" applyBorder="0" applyAlignment="0" applyProtection="0"/>
    <xf numFmtId="182" fontId="26" fillId="0" borderId="0" applyFont="0" applyFill="0" applyBorder="0" applyAlignment="0" applyProtection="0"/>
    <xf numFmtId="182" fontId="26" fillId="0" borderId="0" applyFont="0" applyFill="0" applyBorder="0" applyAlignment="0" applyProtection="0"/>
    <xf numFmtId="182" fontId="26" fillId="0" borderId="0" applyFont="0" applyFill="0" applyBorder="0" applyAlignment="0" applyProtection="0"/>
    <xf numFmtId="182" fontId="26" fillId="0" borderId="0" applyFont="0" applyFill="0" applyBorder="0" applyAlignment="0" applyProtection="0"/>
    <xf numFmtId="183" fontId="26" fillId="78" borderId="0" applyFont="0" applyBorder="0"/>
    <xf numFmtId="183" fontId="26" fillId="78" borderId="0" applyFont="0" applyBorder="0"/>
    <xf numFmtId="183" fontId="26" fillId="78" borderId="0" applyFont="0" applyBorder="0"/>
    <xf numFmtId="183" fontId="26" fillId="78" borderId="0" applyFont="0" applyBorder="0"/>
    <xf numFmtId="170" fontId="69" fillId="37" borderId="0" applyNumberFormat="0" applyBorder="0" applyAlignment="0" applyProtection="0"/>
    <xf numFmtId="170" fontId="69" fillId="37" borderId="0" applyNumberFormat="0" applyBorder="0" applyAlignment="0" applyProtection="0"/>
    <xf numFmtId="170" fontId="82" fillId="37" borderId="0" applyNumberFormat="0" applyBorder="0" applyAlignment="0" applyProtection="0"/>
    <xf numFmtId="170" fontId="82" fillId="37" borderId="0" applyNumberFormat="0" applyBorder="0" applyAlignment="0" applyProtection="0"/>
    <xf numFmtId="170" fontId="83" fillId="41" borderId="24" applyNumberFormat="0" applyAlignment="0" applyProtection="0"/>
    <xf numFmtId="170" fontId="83" fillId="41" borderId="24" applyNumberFormat="0" applyAlignment="0" applyProtection="0"/>
    <xf numFmtId="170" fontId="83" fillId="41" borderId="24" applyNumberFormat="0" applyAlignment="0" applyProtection="0"/>
    <xf numFmtId="170" fontId="84" fillId="48" borderId="23" applyNumberFormat="0" applyAlignment="0" applyProtection="0"/>
    <xf numFmtId="170" fontId="84" fillId="48" borderId="23" applyNumberFormat="0" applyAlignment="0" applyProtection="0"/>
    <xf numFmtId="170" fontId="84" fillId="48" borderId="23" applyNumberFormat="0" applyAlignment="0" applyProtection="0"/>
    <xf numFmtId="1" fontId="85" fillId="33" borderId="0" applyNumberFormat="0" applyFont="0" applyFill="0"/>
    <xf numFmtId="184" fontId="86" fillId="79" borderId="4"/>
    <xf numFmtId="185" fontId="86" fillId="79" borderId="4"/>
    <xf numFmtId="186" fontId="86" fillId="79" borderId="4"/>
    <xf numFmtId="187" fontId="86" fillId="34" borderId="4">
      <protection locked="0"/>
    </xf>
    <xf numFmtId="188" fontId="86" fillId="79" borderId="4"/>
    <xf numFmtId="189" fontId="86" fillId="79" borderId="4"/>
    <xf numFmtId="187" fontId="86" fillId="79" borderId="4"/>
    <xf numFmtId="169" fontId="87" fillId="79" borderId="4"/>
    <xf numFmtId="38" fontId="88" fillId="43" borderId="4"/>
    <xf numFmtId="167" fontId="89" fillId="79" borderId="4"/>
    <xf numFmtId="184" fontId="89" fillId="79" borderId="4"/>
    <xf numFmtId="185" fontId="89" fillId="79" borderId="4"/>
    <xf numFmtId="190" fontId="89" fillId="79" borderId="4"/>
    <xf numFmtId="186" fontId="89" fillId="79" borderId="4"/>
    <xf numFmtId="174" fontId="89" fillId="79" borderId="4"/>
    <xf numFmtId="188" fontId="87" fillId="79" borderId="4"/>
    <xf numFmtId="187" fontId="89" fillId="79" borderId="4"/>
    <xf numFmtId="169" fontId="87" fillId="79" borderId="4"/>
    <xf numFmtId="188" fontId="90" fillId="0" borderId="0">
      <protection locked="0"/>
    </xf>
    <xf numFmtId="14" fontId="91" fillId="0" borderId="0" applyFill="0" applyBorder="0" applyAlignment="0"/>
    <xf numFmtId="170" fontId="92" fillId="0" borderId="0"/>
    <xf numFmtId="164" fontId="26" fillId="0" borderId="0" applyFont="0" applyFill="0" applyBorder="0" applyAlignment="0" applyProtection="0"/>
    <xf numFmtId="4" fontId="39" fillId="0" borderId="0" applyFont="0" applyFill="0" applyBorder="0" applyAlignment="0" applyProtection="0"/>
    <xf numFmtId="170" fontId="93" fillId="38" borderId="0" applyNumberFormat="0" applyBorder="0" applyAlignment="0" applyProtection="0"/>
    <xf numFmtId="170" fontId="93" fillId="38" borderId="0" applyNumberFormat="0" applyBorder="0" applyAlignment="0" applyProtection="0"/>
    <xf numFmtId="170" fontId="93" fillId="38" borderId="0" applyNumberFormat="0" applyBorder="0" applyAlignment="0" applyProtection="0"/>
    <xf numFmtId="191" fontId="94" fillId="0" borderId="0">
      <alignment horizontal="center"/>
    </xf>
    <xf numFmtId="192" fontId="30" fillId="0" borderId="0" applyFont="0" applyFill="0" applyBorder="0" applyAlignment="0" applyProtection="0"/>
    <xf numFmtId="193" fontId="30" fillId="0" borderId="0" applyFont="0" applyFill="0" applyBorder="0" applyAlignment="0" applyProtection="0"/>
    <xf numFmtId="168" fontId="26" fillId="0" borderId="0" applyFont="0" applyFill="0" applyBorder="0" applyAlignment="0" applyProtection="0"/>
    <xf numFmtId="168" fontId="26" fillId="0" borderId="0" applyFont="0" applyFill="0" applyBorder="0" applyAlignment="0" applyProtection="0"/>
    <xf numFmtId="168" fontId="26" fillId="0" borderId="0" applyFont="0" applyFill="0" applyBorder="0" applyAlignment="0" applyProtection="0"/>
    <xf numFmtId="170" fontId="95" fillId="41" borderId="24" applyNumberFormat="0" applyAlignment="0" applyProtection="0"/>
    <xf numFmtId="170" fontId="95" fillId="41" borderId="24" applyNumberFormat="0" applyAlignment="0" applyProtection="0"/>
    <xf numFmtId="170" fontId="95" fillId="41" borderId="24" applyNumberFormat="0" applyAlignment="0" applyProtection="0"/>
    <xf numFmtId="170" fontId="56" fillId="41" borderId="24" applyNumberFormat="0" applyAlignment="0" applyProtection="0"/>
    <xf numFmtId="170" fontId="96" fillId="77" borderId="27" applyNumberFormat="0" applyAlignment="0" applyProtection="0"/>
    <xf numFmtId="170" fontId="96" fillId="77" borderId="27" applyNumberFormat="0" applyAlignment="0" applyProtection="0"/>
    <xf numFmtId="170" fontId="97" fillId="80" borderId="0" applyNumberFormat="0" applyBorder="0" applyAlignment="0" applyProtection="0"/>
    <xf numFmtId="170" fontId="97" fillId="80" borderId="0" applyNumberFormat="0" applyBorder="0" applyAlignment="0" applyProtection="0"/>
    <xf numFmtId="170" fontId="32" fillId="80" borderId="0" applyNumberFormat="0" applyBorder="0" applyAlignment="0" applyProtection="0"/>
    <xf numFmtId="170" fontId="97" fillId="81" borderId="0" applyNumberFormat="0" applyBorder="0" applyAlignment="0" applyProtection="0"/>
    <xf numFmtId="170" fontId="97" fillId="81" borderId="0" applyNumberFormat="0" applyBorder="0" applyAlignment="0" applyProtection="0"/>
    <xf numFmtId="170" fontId="32" fillId="81" borderId="0" applyNumberFormat="0" applyBorder="0" applyAlignment="0" applyProtection="0"/>
    <xf numFmtId="170" fontId="97" fillId="82" borderId="0" applyNumberFormat="0" applyBorder="0" applyAlignment="0" applyProtection="0"/>
    <xf numFmtId="170" fontId="97" fillId="82" borderId="0" applyNumberFormat="0" applyBorder="0" applyAlignment="0" applyProtection="0"/>
    <xf numFmtId="170" fontId="32" fillId="82" borderId="0" applyNumberFormat="0" applyBorder="0" applyAlignment="0" applyProtection="0"/>
    <xf numFmtId="180" fontId="26" fillId="0" borderId="0" applyFill="0" applyBorder="0" applyAlignment="0"/>
    <xf numFmtId="180" fontId="26" fillId="0" borderId="0" applyFill="0" applyBorder="0" applyAlignment="0"/>
    <xf numFmtId="180" fontId="26" fillId="0" borderId="0" applyFill="0" applyBorder="0" applyAlignment="0"/>
    <xf numFmtId="180" fontId="26" fillId="0" borderId="0" applyFill="0" applyBorder="0" applyAlignment="0"/>
    <xf numFmtId="180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80" fontId="26" fillId="0" borderId="0" applyFill="0" applyBorder="0" applyAlignment="0"/>
    <xf numFmtId="180" fontId="26" fillId="0" borderId="0" applyFill="0" applyBorder="0" applyAlignment="0"/>
    <xf numFmtId="180" fontId="26" fillId="0" borderId="0" applyFill="0" applyBorder="0" applyAlignment="0"/>
    <xf numFmtId="180" fontId="26" fillId="0" borderId="0" applyFill="0" applyBorder="0" applyAlignment="0"/>
    <xf numFmtId="180" fontId="26" fillId="0" borderId="0" applyFill="0" applyBorder="0" applyAlignment="0"/>
    <xf numFmtId="194" fontId="26" fillId="0" borderId="0" applyFill="0" applyBorder="0" applyAlignment="0"/>
    <xf numFmtId="194" fontId="26" fillId="0" borderId="0" applyFill="0" applyBorder="0" applyAlignment="0"/>
    <xf numFmtId="194" fontId="26" fillId="0" borderId="0" applyFill="0" applyBorder="0" applyAlignment="0"/>
    <xf numFmtId="194" fontId="26" fillId="0" borderId="0" applyFill="0" applyBorder="0" applyAlignment="0"/>
    <xf numFmtId="194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0" fontId="98" fillId="0" borderId="0" applyNumberFormat="0" applyAlignment="0">
      <alignment horizontal="left"/>
    </xf>
    <xf numFmtId="170" fontId="98" fillId="0" borderId="0" applyNumberFormat="0" applyAlignment="0">
      <alignment horizontal="left"/>
    </xf>
    <xf numFmtId="1" fontId="99" fillId="0" borderId="2">
      <alignment horizontal="center"/>
    </xf>
    <xf numFmtId="170" fontId="95" fillId="41" borderId="24" applyNumberFormat="0" applyAlignment="0" applyProtection="0"/>
    <xf numFmtId="170" fontId="95" fillId="41" borderId="24" applyNumberFormat="0" applyAlignment="0" applyProtection="0"/>
    <xf numFmtId="170" fontId="56" fillId="41" borderId="24" applyNumberFormat="0" applyAlignment="0" applyProtection="0"/>
    <xf numFmtId="170" fontId="86" fillId="34" borderId="4">
      <protection locked="0"/>
    </xf>
    <xf numFmtId="170" fontId="86" fillId="34" borderId="4">
      <protection locked="0"/>
    </xf>
    <xf numFmtId="170" fontId="100" fillId="34" borderId="4">
      <protection locked="0"/>
    </xf>
    <xf numFmtId="185" fontId="86" fillId="34" borderId="4">
      <protection locked="0"/>
    </xf>
    <xf numFmtId="186" fontId="86" fillId="34" borderId="4">
      <protection locked="0"/>
    </xf>
    <xf numFmtId="174" fontId="86" fillId="34" borderId="4">
      <protection locked="0"/>
    </xf>
    <xf numFmtId="195" fontId="87" fillId="34" borderId="4">
      <protection locked="0"/>
    </xf>
    <xf numFmtId="189" fontId="86" fillId="34" borderId="4">
      <protection locked="0"/>
    </xf>
    <xf numFmtId="187" fontId="86" fillId="34" borderId="4">
      <protection locked="0"/>
    </xf>
    <xf numFmtId="189" fontId="86" fillId="34" borderId="4">
      <protection locked="0"/>
    </xf>
    <xf numFmtId="169" fontId="86" fillId="34" borderId="4">
      <protection locked="0"/>
    </xf>
    <xf numFmtId="196" fontId="88" fillId="38" borderId="4">
      <protection locked="0"/>
    </xf>
    <xf numFmtId="170" fontId="97" fillId="0" borderId="25" applyNumberFormat="0" applyFill="0" applyAlignment="0" applyProtection="0"/>
    <xf numFmtId="170" fontId="97" fillId="0" borderId="25" applyNumberFormat="0" applyFill="0" applyAlignment="0" applyProtection="0"/>
    <xf numFmtId="170" fontId="97" fillId="0" borderId="25" applyNumberFormat="0" applyFill="0" applyAlignment="0" applyProtection="0"/>
    <xf numFmtId="170" fontId="32" fillId="0" borderId="25" applyNumberFormat="0" applyFill="0" applyAlignment="0" applyProtection="0"/>
    <xf numFmtId="170" fontId="101" fillId="0" borderId="0" applyNumberFormat="0" applyFill="0" applyBorder="0" applyAlignment="0" applyProtection="0"/>
    <xf numFmtId="170" fontId="101" fillId="0" borderId="0" applyNumberFormat="0" applyFill="0" applyBorder="0" applyAlignment="0" applyProtection="0"/>
    <xf numFmtId="170" fontId="101" fillId="0" borderId="0" applyNumberFormat="0" applyFill="0" applyBorder="0" applyAlignment="0" applyProtection="0"/>
    <xf numFmtId="170" fontId="102" fillId="0" borderId="0" applyNumberFormat="0" applyFill="0" applyBorder="0" applyAlignment="0" applyProtection="0"/>
    <xf numFmtId="197" fontId="79" fillId="0" borderId="0" applyFont="0" applyFill="0" applyBorder="0" applyAlignment="0" applyProtection="0"/>
    <xf numFmtId="197" fontId="79" fillId="0" borderId="0" applyFont="0" applyFill="0" applyBorder="0" applyAlignment="0" applyProtection="0"/>
    <xf numFmtId="170" fontId="103" fillId="0" borderId="0" applyNumberFormat="0" applyFill="0" applyBorder="0" applyAlignment="0" applyProtection="0"/>
    <xf numFmtId="170" fontId="103" fillId="0" borderId="0" applyNumberFormat="0" applyFill="0" applyBorder="0" applyAlignment="0" applyProtection="0"/>
    <xf numFmtId="3" fontId="104" fillId="0" borderId="0" applyProtection="0"/>
    <xf numFmtId="3" fontId="48" fillId="0" borderId="0" applyProtection="0"/>
    <xf numFmtId="3" fontId="105" fillId="0" borderId="0" applyProtection="0"/>
    <xf numFmtId="3" fontId="106" fillId="0" borderId="0" applyProtection="0"/>
    <xf numFmtId="3" fontId="106" fillId="0" borderId="0" applyProtection="0"/>
    <xf numFmtId="3" fontId="106" fillId="0" borderId="0" applyProtection="0"/>
    <xf numFmtId="3" fontId="107" fillId="0" borderId="0" applyProtection="0"/>
    <xf numFmtId="3" fontId="79" fillId="0" borderId="0" applyProtection="0"/>
    <xf numFmtId="3" fontId="79" fillId="0" borderId="0" applyProtection="0"/>
    <xf numFmtId="3" fontId="79" fillId="0" borderId="0" applyProtection="0"/>
    <xf numFmtId="3" fontId="108" fillId="0" borderId="0" applyProtection="0"/>
    <xf numFmtId="170" fontId="45" fillId="75" borderId="0" applyNumberFormat="0" applyBorder="0" applyAlignment="0" applyProtection="0"/>
    <xf numFmtId="170" fontId="45" fillId="75" borderId="0" applyNumberFormat="0" applyBorder="0" applyAlignment="0" applyProtection="0"/>
    <xf numFmtId="170" fontId="44" fillId="75" borderId="0" applyNumberFormat="0" applyBorder="0" applyAlignment="0" applyProtection="0"/>
    <xf numFmtId="170" fontId="45" fillId="59" borderId="0" applyNumberFormat="0" applyBorder="0" applyAlignment="0" applyProtection="0"/>
    <xf numFmtId="170" fontId="45" fillId="59" borderId="0" applyNumberFormat="0" applyBorder="0" applyAlignment="0" applyProtection="0"/>
    <xf numFmtId="170" fontId="44" fillId="59" borderId="0" applyNumberFormat="0" applyBorder="0" applyAlignment="0" applyProtection="0"/>
    <xf numFmtId="170" fontId="45" fillId="64" borderId="0" applyNumberFormat="0" applyBorder="0" applyAlignment="0" applyProtection="0"/>
    <xf numFmtId="170" fontId="45" fillId="64" borderId="0" applyNumberFormat="0" applyBorder="0" applyAlignment="0" applyProtection="0"/>
    <xf numFmtId="170" fontId="44" fillId="64" borderId="0" applyNumberFormat="0" applyBorder="0" applyAlignment="0" applyProtection="0"/>
    <xf numFmtId="170" fontId="45" fillId="51" borderId="0" applyNumberFormat="0" applyBorder="0" applyAlignment="0" applyProtection="0"/>
    <xf numFmtId="170" fontId="45" fillId="51" borderId="0" applyNumberFormat="0" applyBorder="0" applyAlignment="0" applyProtection="0"/>
    <xf numFmtId="170" fontId="44" fillId="51" borderId="0" applyNumberFormat="0" applyBorder="0" applyAlignment="0" applyProtection="0"/>
    <xf numFmtId="170" fontId="45" fillId="52" borderId="0" applyNumberFormat="0" applyBorder="0" applyAlignment="0" applyProtection="0"/>
    <xf numFmtId="170" fontId="45" fillId="52" borderId="0" applyNumberFormat="0" applyBorder="0" applyAlignment="0" applyProtection="0"/>
    <xf numFmtId="170" fontId="44" fillId="52" borderId="0" applyNumberFormat="0" applyBorder="0" applyAlignment="0" applyProtection="0"/>
    <xf numFmtId="170" fontId="45" fillId="71" borderId="0" applyNumberFormat="0" applyBorder="0" applyAlignment="0" applyProtection="0"/>
    <xf numFmtId="170" fontId="45" fillId="71" borderId="0" applyNumberFormat="0" applyBorder="0" applyAlignment="0" applyProtection="0"/>
    <xf numFmtId="170" fontId="44" fillId="71" borderId="0" applyNumberFormat="0" applyBorder="0" applyAlignment="0" applyProtection="0"/>
    <xf numFmtId="170" fontId="52" fillId="0" borderId="0" applyNumberFormat="0" applyFill="0" applyBorder="0" applyAlignment="0" applyProtection="0"/>
    <xf numFmtId="170" fontId="52" fillId="0" borderId="0" applyNumberFormat="0" applyFill="0" applyBorder="0" applyAlignment="0" applyProtection="0"/>
    <xf numFmtId="198" fontId="26" fillId="0" borderId="0">
      <protection locked="0"/>
    </xf>
    <xf numFmtId="198" fontId="26" fillId="0" borderId="0">
      <protection locked="0"/>
    </xf>
    <xf numFmtId="198" fontId="26" fillId="0" borderId="0">
      <protection locked="0"/>
    </xf>
    <xf numFmtId="198" fontId="26" fillId="0" borderId="0">
      <protection locked="0"/>
    </xf>
    <xf numFmtId="198" fontId="26" fillId="0" borderId="0">
      <protection locked="0"/>
    </xf>
    <xf numFmtId="170" fontId="39" fillId="0" borderId="0"/>
    <xf numFmtId="170" fontId="39" fillId="0" borderId="0"/>
    <xf numFmtId="170" fontId="40" fillId="0" borderId="0"/>
    <xf numFmtId="170" fontId="109" fillId="34" borderId="0"/>
    <xf numFmtId="170" fontId="109" fillId="34" borderId="0"/>
    <xf numFmtId="170" fontId="109" fillId="34" borderId="0"/>
    <xf numFmtId="170" fontId="101" fillId="0" borderId="0" applyNumberFormat="0" applyFill="0" applyBorder="0" applyAlignment="0" applyProtection="0"/>
    <xf numFmtId="170" fontId="101" fillId="0" borderId="0" applyNumberFormat="0" applyFill="0" applyBorder="0" applyAlignment="0" applyProtection="0"/>
    <xf numFmtId="170" fontId="102" fillId="0" borderId="0" applyNumberFormat="0" applyFill="0" applyBorder="0" applyAlignment="0" applyProtection="0"/>
    <xf numFmtId="170" fontId="110" fillId="0" borderId="0"/>
    <xf numFmtId="170" fontId="110" fillId="0" borderId="0"/>
    <xf numFmtId="170" fontId="111" fillId="0" borderId="0"/>
    <xf numFmtId="170" fontId="77" fillId="0" borderId="17">
      <alignment horizontal="center"/>
    </xf>
    <xf numFmtId="170" fontId="77" fillId="0" borderId="17">
      <alignment horizontal="center"/>
    </xf>
    <xf numFmtId="170" fontId="26" fillId="0" borderId="17">
      <alignment horizontal="center"/>
    </xf>
    <xf numFmtId="170" fontId="112" fillId="38" borderId="0" applyNumberFormat="0" applyBorder="0" applyAlignment="0" applyProtection="0"/>
    <xf numFmtId="170" fontId="112" fillId="38" borderId="0" applyNumberFormat="0" applyBorder="0" applyAlignment="0" applyProtection="0"/>
    <xf numFmtId="38" fontId="65" fillId="78" borderId="0" applyNumberFormat="0" applyBorder="0" applyAlignment="0" applyProtection="0"/>
    <xf numFmtId="3" fontId="113" fillId="0" borderId="0"/>
    <xf numFmtId="170" fontId="60" fillId="38" borderId="0" applyNumberFormat="0" applyBorder="0" applyAlignment="0" applyProtection="0"/>
    <xf numFmtId="170" fontId="60" fillId="38" borderId="0" applyNumberFormat="0" applyBorder="0" applyAlignment="0" applyProtection="0"/>
    <xf numFmtId="170" fontId="60" fillId="38" borderId="0" applyNumberFormat="0" applyBorder="0" applyAlignment="0" applyProtection="0"/>
    <xf numFmtId="170" fontId="61" fillId="38" borderId="0" applyNumberFormat="0" applyBorder="0" applyAlignment="0" applyProtection="0"/>
    <xf numFmtId="170" fontId="114" fillId="0" borderId="0" applyNumberFormat="0" applyFill="0" applyBorder="0" applyAlignment="0" applyProtection="0"/>
    <xf numFmtId="170" fontId="114" fillId="0" borderId="0" applyNumberFormat="0" applyFill="0" applyBorder="0" applyAlignment="0" applyProtection="0"/>
    <xf numFmtId="170" fontId="115" fillId="0" borderId="0" applyNumberFormat="0" applyFill="0" applyBorder="0" applyAlignment="0" applyProtection="0"/>
    <xf numFmtId="170" fontId="116" fillId="0" borderId="18" applyNumberFormat="0" applyAlignment="0" applyProtection="0">
      <alignment horizontal="left" vertical="center"/>
    </xf>
    <xf numFmtId="170" fontId="116" fillId="0" borderId="18" applyNumberFormat="0" applyAlignment="0" applyProtection="0">
      <alignment horizontal="left" vertical="center"/>
    </xf>
    <xf numFmtId="170" fontId="24" fillId="0" borderId="18" applyNumberFormat="0" applyAlignment="0" applyProtection="0">
      <alignment horizontal="left" vertical="center"/>
    </xf>
    <xf numFmtId="170" fontId="116" fillId="0" borderId="15">
      <alignment horizontal="left" vertical="center"/>
    </xf>
    <xf numFmtId="170" fontId="116" fillId="0" borderId="15">
      <alignment horizontal="left" vertical="center"/>
    </xf>
    <xf numFmtId="170" fontId="24" fillId="0" borderId="15">
      <alignment horizontal="left" vertical="center"/>
    </xf>
    <xf numFmtId="170" fontId="117" fillId="0" borderId="31" applyNumberFormat="0" applyFill="0" applyAlignment="0" applyProtection="0"/>
    <xf numFmtId="170" fontId="117" fillId="0" borderId="31" applyNumberFormat="0" applyFill="0" applyAlignment="0" applyProtection="0"/>
    <xf numFmtId="170" fontId="118" fillId="0" borderId="29" applyNumberFormat="0" applyFill="0" applyAlignment="0" applyProtection="0"/>
    <xf numFmtId="170" fontId="118" fillId="0" borderId="29" applyNumberFormat="0" applyFill="0" applyAlignment="0" applyProtection="0"/>
    <xf numFmtId="170" fontId="119" fillId="0" borderId="32" applyNumberFormat="0" applyFill="0" applyAlignment="0" applyProtection="0"/>
    <xf numFmtId="170" fontId="119" fillId="0" borderId="32" applyNumberFormat="0" applyFill="0" applyAlignment="0" applyProtection="0"/>
    <xf numFmtId="170" fontId="119" fillId="0" borderId="0" applyNumberFormat="0" applyFill="0" applyBorder="0" applyAlignment="0" applyProtection="0"/>
    <xf numFmtId="170" fontId="119" fillId="0" borderId="0" applyNumberFormat="0" applyFill="0" applyBorder="0" applyAlignment="0" applyProtection="0"/>
    <xf numFmtId="199" fontId="26" fillId="0" borderId="0">
      <protection locked="0"/>
    </xf>
    <xf numFmtId="199" fontId="26" fillId="0" borderId="0">
      <protection locked="0"/>
    </xf>
    <xf numFmtId="199" fontId="26" fillId="0" borderId="0">
      <protection locked="0"/>
    </xf>
    <xf numFmtId="199" fontId="26" fillId="0" borderId="0">
      <protection locked="0"/>
    </xf>
    <xf numFmtId="199" fontId="26" fillId="0" borderId="0">
      <protection locked="0"/>
    </xf>
    <xf numFmtId="199" fontId="26" fillId="0" borderId="0">
      <protection locked="0"/>
    </xf>
    <xf numFmtId="199" fontId="26" fillId="0" borderId="0">
      <protection locked="0"/>
    </xf>
    <xf numFmtId="199" fontId="26" fillId="0" borderId="0">
      <protection locked="0"/>
    </xf>
    <xf numFmtId="199" fontId="26" fillId="0" borderId="0">
      <protection locked="0"/>
    </xf>
    <xf numFmtId="199" fontId="26" fillId="0" borderId="0">
      <protection locked="0"/>
    </xf>
    <xf numFmtId="170" fontId="120" fillId="0" borderId="16">
      <alignment horizontal="center"/>
    </xf>
    <xf numFmtId="170" fontId="120" fillId="0" borderId="16">
      <alignment horizontal="center"/>
    </xf>
    <xf numFmtId="170" fontId="120" fillId="0" borderId="16">
      <alignment horizontal="center"/>
    </xf>
    <xf numFmtId="170" fontId="120" fillId="0" borderId="0">
      <alignment horizontal="center"/>
    </xf>
    <xf numFmtId="170" fontId="120" fillId="0" borderId="0">
      <alignment horizontal="center"/>
    </xf>
    <xf numFmtId="170" fontId="120" fillId="0" borderId="0">
      <alignment horizontal="center"/>
    </xf>
    <xf numFmtId="170" fontId="121" fillId="0" borderId="33" applyNumberFormat="0" applyFill="0" applyAlignment="0" applyProtection="0"/>
    <xf numFmtId="170" fontId="121" fillId="0" borderId="33" applyNumberFormat="0" applyFill="0" applyAlignment="0" applyProtection="0"/>
    <xf numFmtId="170" fontId="122" fillId="0" borderId="33" applyNumberFormat="0" applyFill="0" applyAlignment="0" applyProtection="0"/>
    <xf numFmtId="170" fontId="123" fillId="0" borderId="0" applyNumberFormat="0" applyFill="0" applyBorder="0" applyAlignment="0" applyProtection="0">
      <alignment vertical="top"/>
      <protection locked="0"/>
    </xf>
    <xf numFmtId="170" fontId="123" fillId="0" borderId="0" applyNumberFormat="0" applyFill="0" applyBorder="0" applyAlignment="0" applyProtection="0">
      <alignment vertical="top"/>
      <protection locked="0"/>
    </xf>
    <xf numFmtId="170" fontId="124" fillId="0" borderId="0" applyNumberFormat="0" applyFill="0" applyBorder="0" applyAlignment="0" applyProtection="0">
      <alignment vertical="top"/>
      <protection locked="0"/>
    </xf>
    <xf numFmtId="170" fontId="125" fillId="0" borderId="0" applyNumberFormat="0" applyFill="0" applyBorder="0" applyAlignment="0" applyProtection="0">
      <alignment vertical="top"/>
      <protection locked="0"/>
    </xf>
    <xf numFmtId="170" fontId="125" fillId="0" borderId="0" applyNumberFormat="0" applyFill="0" applyBorder="0" applyAlignment="0" applyProtection="0">
      <alignment vertical="top"/>
      <protection locked="0"/>
    </xf>
    <xf numFmtId="170" fontId="125" fillId="0" borderId="0" applyNumberFormat="0" applyFill="0" applyBorder="0" applyAlignment="0" applyProtection="0">
      <alignment vertical="top"/>
      <protection locked="0"/>
    </xf>
    <xf numFmtId="170" fontId="125" fillId="0" borderId="0" applyNumberFormat="0" applyFill="0" applyBorder="0" applyAlignment="0" applyProtection="0">
      <alignment vertical="top"/>
      <protection locked="0"/>
    </xf>
    <xf numFmtId="170" fontId="125" fillId="0" borderId="0" applyNumberFormat="0" applyFill="0" applyBorder="0" applyAlignment="0" applyProtection="0">
      <alignment vertical="top"/>
      <protection locked="0"/>
    </xf>
    <xf numFmtId="170" fontId="125" fillId="0" borderId="0" applyNumberFormat="0" applyFill="0" applyBorder="0" applyAlignment="0" applyProtection="0">
      <alignment vertical="top"/>
      <protection locked="0"/>
    </xf>
    <xf numFmtId="170" fontId="125" fillId="0" borderId="0" applyNumberFormat="0" applyFill="0" applyBorder="0" applyAlignment="0" applyProtection="0">
      <alignment vertical="top"/>
      <protection locked="0"/>
    </xf>
    <xf numFmtId="170" fontId="67" fillId="0" borderId="26" applyNumberFormat="0" applyFill="0" applyAlignment="0" applyProtection="0"/>
    <xf numFmtId="170" fontId="67" fillId="0" borderId="26" applyNumberFormat="0" applyFill="0" applyAlignment="0" applyProtection="0"/>
    <xf numFmtId="170" fontId="126" fillId="0" borderId="0" applyNumberFormat="0" applyFill="0" applyBorder="0" applyAlignment="0" applyProtection="0">
      <alignment vertical="top"/>
      <protection locked="0"/>
    </xf>
    <xf numFmtId="170" fontId="127" fillId="0" borderId="0" applyNumberFormat="0" applyFill="0" applyBorder="0" applyAlignment="0" applyProtection="0">
      <alignment vertical="top"/>
      <protection locked="0"/>
    </xf>
    <xf numFmtId="170" fontId="95" fillId="41" borderId="24" applyNumberFormat="0" applyAlignment="0" applyProtection="0"/>
    <xf numFmtId="170" fontId="95" fillId="41" borderId="24" applyNumberFormat="0" applyAlignment="0" applyProtection="0"/>
    <xf numFmtId="170" fontId="56" fillId="41" borderId="24" applyNumberFormat="0" applyAlignment="0" applyProtection="0"/>
    <xf numFmtId="170" fontId="85" fillId="0" borderId="22" applyNumberFormat="0">
      <alignment horizontal="left" indent="1"/>
    </xf>
    <xf numFmtId="170" fontId="85" fillId="0" borderId="22" applyNumberFormat="0">
      <alignment horizontal="left" indent="1"/>
    </xf>
    <xf numFmtId="170" fontId="128" fillId="0" borderId="22" applyNumberFormat="0">
      <alignment horizontal="left"/>
    </xf>
    <xf numFmtId="170" fontId="129" fillId="1" borderId="34">
      <alignment horizontal="center"/>
    </xf>
    <xf numFmtId="170" fontId="130" fillId="41" borderId="24" applyNumberFormat="0" applyAlignment="0" applyProtection="0"/>
    <xf numFmtId="10" fontId="65" fillId="79" borderId="4" applyNumberFormat="0" applyBorder="0" applyAlignment="0" applyProtection="0"/>
    <xf numFmtId="170" fontId="130" fillId="41" borderId="24" applyNumberFormat="0" applyAlignment="0" applyProtection="0"/>
    <xf numFmtId="183" fontId="131" fillId="83" borderId="0"/>
    <xf numFmtId="3" fontId="87" fillId="0" borderId="22">
      <alignment horizontal="center"/>
      <protection locked="0"/>
    </xf>
    <xf numFmtId="4" fontId="87" fillId="0" borderId="22">
      <alignment horizontal="center"/>
      <protection locked="0"/>
    </xf>
    <xf numFmtId="3" fontId="26" fillId="84" borderId="19" applyNumberFormat="0" applyFill="0" applyBorder="0" applyAlignment="0">
      <protection locked="0"/>
    </xf>
    <xf numFmtId="170" fontId="82" fillId="37" borderId="0" applyNumberFormat="0" applyBorder="0" applyAlignment="0" applyProtection="0"/>
    <xf numFmtId="170" fontId="82" fillId="37" borderId="0" applyNumberFormat="0" applyBorder="0" applyAlignment="0" applyProtection="0"/>
    <xf numFmtId="170" fontId="69" fillId="37" borderId="0" applyNumberFormat="0" applyBorder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44" fillId="75" borderId="0" applyNumberFormat="0" applyBorder="0" applyAlignment="0" applyProtection="0"/>
    <xf numFmtId="170" fontId="44" fillId="75" borderId="0" applyNumberFormat="0" applyBorder="0" applyAlignment="0" applyProtection="0"/>
    <xf numFmtId="170" fontId="44" fillId="59" borderId="0" applyNumberFormat="0" applyBorder="0" applyAlignment="0" applyProtection="0"/>
    <xf numFmtId="170" fontId="44" fillId="59" borderId="0" applyNumberFormat="0" applyBorder="0" applyAlignment="0" applyProtection="0"/>
    <xf numFmtId="170" fontId="44" fillId="64" borderId="0" applyNumberFormat="0" applyBorder="0" applyAlignment="0" applyProtection="0"/>
    <xf numFmtId="170" fontId="44" fillId="64" borderId="0" applyNumberFormat="0" applyBorder="0" applyAlignment="0" applyProtection="0"/>
    <xf numFmtId="170" fontId="44" fillId="51" borderId="0" applyNumberFormat="0" applyBorder="0" applyAlignment="0" applyProtection="0"/>
    <xf numFmtId="170" fontId="44" fillId="51" borderId="0" applyNumberFormat="0" applyBorder="0" applyAlignment="0" applyProtection="0"/>
    <xf numFmtId="170" fontId="44" fillId="52" borderId="0" applyNumberFormat="0" applyBorder="0" applyAlignment="0" applyProtection="0"/>
    <xf numFmtId="170" fontId="44" fillId="52" borderId="0" applyNumberFormat="0" applyBorder="0" applyAlignment="0" applyProtection="0"/>
    <xf numFmtId="170" fontId="44" fillId="71" borderId="0" applyNumberFormat="0" applyBorder="0" applyAlignment="0" applyProtection="0"/>
    <xf numFmtId="170" fontId="44" fillId="71" borderId="0" applyNumberFormat="0" applyBorder="0" applyAlignment="0" applyProtection="0"/>
    <xf numFmtId="170" fontId="61" fillId="38" borderId="0" applyNumberFormat="0" applyBorder="0" applyAlignment="0" applyProtection="0"/>
    <xf numFmtId="170" fontId="61" fillId="38" borderId="0" applyNumberFormat="0" applyBorder="0" applyAlignment="0" applyProtection="0"/>
    <xf numFmtId="38" fontId="26" fillId="0" borderId="0" applyFill="0" applyBorder="0" applyProtection="0">
      <alignment horizontal="right"/>
      <protection locked="0"/>
    </xf>
    <xf numFmtId="38" fontId="26" fillId="0" borderId="0" applyFill="0" applyBorder="0" applyProtection="0">
      <alignment horizontal="right"/>
      <protection locked="0"/>
    </xf>
    <xf numFmtId="38" fontId="26" fillId="0" borderId="0" applyFill="0" applyBorder="0" applyProtection="0">
      <alignment horizontal="right"/>
      <protection locked="0"/>
    </xf>
    <xf numFmtId="38" fontId="26" fillId="0" borderId="0" applyFill="0" applyBorder="0" applyProtection="0">
      <alignment horizontal="right"/>
      <protection locked="0"/>
    </xf>
    <xf numFmtId="38" fontId="26" fillId="0" borderId="0" applyFill="0" applyBorder="0" applyProtection="0">
      <alignment horizontal="right"/>
      <protection locked="0"/>
    </xf>
    <xf numFmtId="170" fontId="50" fillId="48" borderId="23" applyNumberFormat="0" applyAlignment="0" applyProtection="0"/>
    <xf numFmtId="170" fontId="50" fillId="48" borderId="23" applyNumberFormat="0" applyAlignment="0" applyProtection="0"/>
    <xf numFmtId="200" fontId="26" fillId="0" borderId="0" applyFont="0" applyFill="0" applyBorder="0" applyAlignment="0" applyProtection="0"/>
    <xf numFmtId="201" fontId="26" fillId="0" borderId="0" applyFont="0" applyFill="0" applyBorder="0" applyAlignment="0" applyProtection="0"/>
    <xf numFmtId="170" fontId="132" fillId="0" borderId="26" applyNumberFormat="0" applyFill="0" applyAlignment="0" applyProtection="0"/>
    <xf numFmtId="170" fontId="132" fillId="0" borderId="26" applyNumberFormat="0" applyFill="0" applyAlignment="0" applyProtection="0"/>
    <xf numFmtId="170" fontId="132" fillId="0" borderId="26" applyNumberFormat="0" applyFill="0" applyAlignment="0" applyProtection="0"/>
    <xf numFmtId="170" fontId="133" fillId="77" borderId="27" applyNumberFormat="0" applyAlignment="0" applyProtection="0"/>
    <xf numFmtId="170" fontId="133" fillId="77" borderId="27" applyNumberFormat="0" applyAlignment="0" applyProtection="0"/>
    <xf numFmtId="170" fontId="133" fillId="77" borderId="27" applyNumberFormat="0" applyAlignment="0" applyProtection="0"/>
    <xf numFmtId="170" fontId="134" fillId="77" borderId="27" applyNumberFormat="0" applyAlignment="0" applyProtection="0"/>
    <xf numFmtId="170" fontId="134" fillId="77" borderId="27" applyNumberFormat="0" applyAlignment="0" applyProtection="0"/>
    <xf numFmtId="170" fontId="96" fillId="77" borderId="27" applyNumberFormat="0" applyAlignment="0" applyProtection="0"/>
    <xf numFmtId="170" fontId="96" fillId="77" borderId="27" applyNumberFormat="0" applyAlignment="0" applyProtection="0"/>
    <xf numFmtId="170" fontId="96" fillId="77" borderId="27" applyNumberFormat="0" applyAlignment="0" applyProtection="0"/>
    <xf numFmtId="170" fontId="96" fillId="77" borderId="27" applyNumberFormat="0" applyAlignment="0" applyProtection="0"/>
    <xf numFmtId="170" fontId="116" fillId="42" borderId="0">
      <alignment horizontal="left" vertical="center"/>
    </xf>
    <xf numFmtId="170" fontId="116" fillId="42" borderId="0">
      <alignment horizontal="left" vertical="center"/>
    </xf>
    <xf numFmtId="170" fontId="24" fillId="42" borderId="0">
      <alignment horizontal="left" vertical="center"/>
    </xf>
    <xf numFmtId="170" fontId="135" fillId="42" borderId="0">
      <alignment horizontal="left" vertical="center"/>
    </xf>
    <xf numFmtId="170" fontId="135" fillId="42" borderId="0">
      <alignment horizontal="left" vertical="center"/>
    </xf>
    <xf numFmtId="170" fontId="106" fillId="42" borderId="0">
      <alignment horizontal="left" vertical="center"/>
    </xf>
    <xf numFmtId="170" fontId="87" fillId="42" borderId="0">
      <alignment horizontal="left" vertical="center"/>
    </xf>
    <xf numFmtId="170" fontId="87" fillId="42" borderId="0">
      <alignment horizontal="left" vertical="center"/>
    </xf>
    <xf numFmtId="170" fontId="25" fillId="42" borderId="0">
      <alignment horizontal="left" vertical="center"/>
    </xf>
    <xf numFmtId="170" fontId="87" fillId="42" borderId="0">
      <alignment horizontal="centerContinuous" vertical="center" wrapText="1"/>
    </xf>
    <xf numFmtId="170" fontId="87" fillId="42" borderId="0">
      <alignment horizontal="centerContinuous" vertical="center" wrapText="1"/>
    </xf>
    <xf numFmtId="170" fontId="25" fillId="42" borderId="0">
      <alignment horizontal="centerContinuous" vertical="center" wrapText="1"/>
    </xf>
    <xf numFmtId="170" fontId="77" fillId="42" borderId="0">
      <alignment horizontal="centerContinuous" vertical="center" wrapText="1"/>
    </xf>
    <xf numFmtId="170" fontId="77" fillId="42" borderId="0">
      <alignment horizontal="centerContinuous" vertical="center" wrapText="1"/>
    </xf>
    <xf numFmtId="170" fontId="26" fillId="42" borderId="0">
      <alignment horizontal="centerContinuous" vertical="center" wrapText="1"/>
    </xf>
    <xf numFmtId="170" fontId="77" fillId="42" borderId="0"/>
    <xf numFmtId="170" fontId="77" fillId="42" borderId="0"/>
    <xf numFmtId="170" fontId="26" fillId="42" borderId="0"/>
    <xf numFmtId="170" fontId="66" fillId="0" borderId="26" applyNumberFormat="0" applyFill="0" applyAlignment="0" applyProtection="0"/>
    <xf numFmtId="170" fontId="66" fillId="0" borderId="26" applyNumberFormat="0" applyFill="0" applyAlignment="0" applyProtection="0"/>
    <xf numFmtId="170" fontId="67" fillId="0" borderId="26" applyNumberFormat="0" applyFill="0" applyAlignment="0" applyProtection="0"/>
    <xf numFmtId="170" fontId="136" fillId="0" borderId="0" applyNumberFormat="0" applyFill="0" applyBorder="0" applyAlignment="0" applyProtection="0">
      <alignment vertical="top"/>
      <protection locked="0"/>
    </xf>
    <xf numFmtId="170" fontId="136" fillId="0" borderId="0" applyNumberFormat="0" applyFill="0" applyBorder="0" applyAlignment="0" applyProtection="0">
      <alignment vertical="top"/>
      <protection locked="0"/>
    </xf>
    <xf numFmtId="180" fontId="26" fillId="0" borderId="0" applyFill="0" applyBorder="0" applyAlignment="0"/>
    <xf numFmtId="180" fontId="26" fillId="0" borderId="0" applyFill="0" applyBorder="0" applyAlignment="0"/>
    <xf numFmtId="180" fontId="26" fillId="0" borderId="0" applyFill="0" applyBorder="0" applyAlignment="0"/>
    <xf numFmtId="180" fontId="26" fillId="0" borderId="0" applyFill="0" applyBorder="0" applyAlignment="0"/>
    <xf numFmtId="180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80" fontId="26" fillId="0" borderId="0" applyFill="0" applyBorder="0" applyAlignment="0"/>
    <xf numFmtId="180" fontId="26" fillId="0" borderId="0" applyFill="0" applyBorder="0" applyAlignment="0"/>
    <xf numFmtId="180" fontId="26" fillId="0" borderId="0" applyFill="0" applyBorder="0" applyAlignment="0"/>
    <xf numFmtId="180" fontId="26" fillId="0" borderId="0" applyFill="0" applyBorder="0" applyAlignment="0"/>
    <xf numFmtId="180" fontId="26" fillId="0" borderId="0" applyFill="0" applyBorder="0" applyAlignment="0"/>
    <xf numFmtId="194" fontId="26" fillId="0" borderId="0" applyFill="0" applyBorder="0" applyAlignment="0"/>
    <xf numFmtId="194" fontId="26" fillId="0" borderId="0" applyFill="0" applyBorder="0" applyAlignment="0"/>
    <xf numFmtId="194" fontId="26" fillId="0" borderId="0" applyFill="0" applyBorder="0" applyAlignment="0"/>
    <xf numFmtId="194" fontId="26" fillId="0" borderId="0" applyFill="0" applyBorder="0" applyAlignment="0"/>
    <xf numFmtId="194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0" fontId="137" fillId="0" borderId="26" applyNumberFormat="0" applyFill="0" applyAlignment="0" applyProtection="0"/>
    <xf numFmtId="170" fontId="137" fillId="0" borderId="26" applyNumberFormat="0" applyFill="0" applyAlignment="0" applyProtection="0"/>
    <xf numFmtId="170" fontId="102" fillId="0" borderId="0" applyNumberFormat="0" applyFill="0" applyBorder="0" applyAlignment="0" applyProtection="0"/>
    <xf numFmtId="170" fontId="102" fillId="0" borderId="0" applyNumberFormat="0" applyFill="0" applyBorder="0" applyAlignment="0" applyProtection="0"/>
    <xf numFmtId="202" fontId="65" fillId="0" borderId="0"/>
    <xf numFmtId="203" fontId="65" fillId="0" borderId="0"/>
    <xf numFmtId="203" fontId="74" fillId="0" borderId="0"/>
    <xf numFmtId="204" fontId="26" fillId="0" borderId="0" applyFont="0" applyFill="0" applyBorder="0" applyAlignment="0" applyProtection="0"/>
    <xf numFmtId="20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200" fontId="26" fillId="0" borderId="0" applyFont="0" applyFill="0" applyBorder="0" applyAlignment="0" applyProtection="0"/>
    <xf numFmtId="201" fontId="26" fillId="0" borderId="0" applyFont="0" applyFill="0" applyBorder="0" applyAlignment="0" applyProtection="0"/>
    <xf numFmtId="170" fontId="138" fillId="0" borderId="16"/>
    <xf numFmtId="170" fontId="138" fillId="0" borderId="16"/>
    <xf numFmtId="170" fontId="139" fillId="0" borderId="16"/>
    <xf numFmtId="205" fontId="26" fillId="0" borderId="0" applyFont="0" applyFill="0" applyBorder="0" applyAlignment="0" applyProtection="0"/>
    <xf numFmtId="206" fontId="26" fillId="0" borderId="0" applyFont="0" applyFill="0" applyBorder="0" applyAlignment="0" applyProtection="0"/>
    <xf numFmtId="207" fontId="26" fillId="0" borderId="0" applyFont="0" applyFill="0" applyBorder="0" applyAlignment="0" applyProtection="0"/>
    <xf numFmtId="208" fontId="26" fillId="0" borderId="0" applyFont="0" applyFill="0" applyBorder="0" applyAlignment="0" applyProtection="0"/>
    <xf numFmtId="4" fontId="65" fillId="76" borderId="0"/>
    <xf numFmtId="203" fontId="65" fillId="76" borderId="0"/>
    <xf numFmtId="4" fontId="65" fillId="1" borderId="0"/>
    <xf numFmtId="203" fontId="65" fillId="1" borderId="0"/>
    <xf numFmtId="170" fontId="71" fillId="0" borderId="28" applyNumberFormat="0" applyFill="0" applyAlignment="0" applyProtection="0"/>
    <xf numFmtId="170" fontId="71" fillId="0" borderId="28" applyNumberFormat="0" applyFill="0" applyAlignment="0" applyProtection="0"/>
    <xf numFmtId="170" fontId="71" fillId="0" borderId="28" applyNumberFormat="0" applyFill="0" applyAlignment="0" applyProtection="0"/>
    <xf numFmtId="170" fontId="72" fillId="0" borderId="29" applyNumberFormat="0" applyFill="0" applyAlignment="0" applyProtection="0"/>
    <xf numFmtId="170" fontId="72" fillId="0" borderId="29" applyNumberFormat="0" applyFill="0" applyAlignment="0" applyProtection="0"/>
    <xf numFmtId="170" fontId="72" fillId="0" borderId="29" applyNumberFormat="0" applyFill="0" applyAlignment="0" applyProtection="0"/>
    <xf numFmtId="170" fontId="73" fillId="0" borderId="30" applyNumberFormat="0" applyFill="0" applyAlignment="0" applyProtection="0"/>
    <xf numFmtId="170" fontId="73" fillId="0" borderId="30" applyNumberFormat="0" applyFill="0" applyAlignment="0" applyProtection="0"/>
    <xf numFmtId="170" fontId="73" fillId="0" borderId="30" applyNumberFormat="0" applyFill="0" applyAlignment="0" applyProtection="0"/>
    <xf numFmtId="170" fontId="73" fillId="0" borderId="0" applyNumberFormat="0" applyFill="0" applyBorder="0" applyAlignment="0" applyProtection="0"/>
    <xf numFmtId="170" fontId="73" fillId="0" borderId="0" applyNumberFormat="0" applyFill="0" applyBorder="0" applyAlignment="0" applyProtection="0"/>
    <xf numFmtId="170" fontId="73" fillId="0" borderId="0" applyNumberFormat="0" applyFill="0" applyBorder="0" applyAlignment="0" applyProtection="0"/>
    <xf numFmtId="3" fontId="140" fillId="85" borderId="0"/>
    <xf numFmtId="170" fontId="141" fillId="0" borderId="28" applyNumberFormat="0" applyFill="0" applyAlignment="0" applyProtection="0"/>
    <xf numFmtId="170" fontId="141" fillId="0" borderId="28" applyNumberFormat="0" applyFill="0" applyAlignment="0" applyProtection="0"/>
    <xf numFmtId="170" fontId="141" fillId="0" borderId="28" applyNumberFormat="0" applyFill="0" applyAlignment="0" applyProtection="0"/>
    <xf numFmtId="170" fontId="142" fillId="0" borderId="29" applyNumberFormat="0" applyFill="0" applyAlignment="0" applyProtection="0"/>
    <xf numFmtId="170" fontId="142" fillId="0" borderId="29" applyNumberFormat="0" applyFill="0" applyAlignment="0" applyProtection="0"/>
    <xf numFmtId="170" fontId="142" fillId="0" borderId="29" applyNumberFormat="0" applyFill="0" applyAlignment="0" applyProtection="0"/>
    <xf numFmtId="170" fontId="143" fillId="0" borderId="30" applyNumberFormat="0" applyFill="0" applyAlignment="0" applyProtection="0"/>
    <xf numFmtId="170" fontId="143" fillId="0" borderId="30" applyNumberFormat="0" applyFill="0" applyAlignment="0" applyProtection="0"/>
    <xf numFmtId="170" fontId="143" fillId="0" borderId="30" applyNumberFormat="0" applyFill="0" applyAlignment="0" applyProtection="0"/>
    <xf numFmtId="170" fontId="143" fillId="0" borderId="0" applyNumberFormat="0" applyFill="0" applyBorder="0" applyAlignment="0" applyProtection="0"/>
    <xf numFmtId="170" fontId="143" fillId="0" borderId="0" applyNumberFormat="0" applyFill="0" applyBorder="0" applyAlignment="0" applyProtection="0"/>
    <xf numFmtId="170" fontId="143" fillId="0" borderId="0" applyNumberFormat="0" applyFill="0" applyBorder="0" applyAlignment="0" applyProtection="0"/>
    <xf numFmtId="170" fontId="70" fillId="0" borderId="0" applyNumberFormat="0" applyFill="0" applyBorder="0" applyAlignment="0" applyProtection="0"/>
    <xf numFmtId="170" fontId="70" fillId="0" borderId="0" applyNumberFormat="0" applyFill="0" applyBorder="0" applyAlignment="0" applyProtection="0"/>
    <xf numFmtId="170" fontId="70" fillId="0" borderId="0" applyNumberFormat="0" applyFill="0" applyBorder="0" applyAlignment="0" applyProtection="0"/>
    <xf numFmtId="170" fontId="144" fillId="49" borderId="0" applyNumberFormat="0" applyBorder="0" applyAlignment="0" applyProtection="0"/>
    <xf numFmtId="170" fontId="144" fillId="49" borderId="0" applyNumberFormat="0" applyBorder="0" applyAlignment="0" applyProtection="0"/>
    <xf numFmtId="170" fontId="144" fillId="49" borderId="0" applyNumberFormat="0" applyBorder="0" applyAlignment="0" applyProtection="0"/>
    <xf numFmtId="170" fontId="145" fillId="49" borderId="0" applyNumberFormat="0" applyBorder="0" applyAlignment="0" applyProtection="0"/>
    <xf numFmtId="170" fontId="146" fillId="49" borderId="0" applyNumberFormat="0" applyBorder="0" applyAlignment="0" applyProtection="0"/>
    <xf numFmtId="170" fontId="146" fillId="49" borderId="0" applyNumberFormat="0" applyBorder="0" applyAlignment="0" applyProtection="0"/>
    <xf numFmtId="170" fontId="146" fillId="49" borderId="0" applyNumberFormat="0" applyBorder="0" applyAlignment="0" applyProtection="0"/>
    <xf numFmtId="170" fontId="145" fillId="49" borderId="0" applyNumberFormat="0" applyBorder="0" applyAlignment="0" applyProtection="0"/>
    <xf numFmtId="170" fontId="145" fillId="49" borderId="0" applyNumberFormat="0" applyBorder="0" applyAlignment="0" applyProtection="0"/>
    <xf numFmtId="170" fontId="145" fillId="49" borderId="0" applyNumberFormat="0" applyBorder="0" applyAlignment="0" applyProtection="0"/>
    <xf numFmtId="170" fontId="144" fillId="49" borderId="0" applyNumberFormat="0" applyBorder="0" applyAlignment="0" applyProtection="0"/>
    <xf numFmtId="170" fontId="144" fillId="49" borderId="0" applyNumberFormat="0" applyBorder="0" applyAlignment="0" applyProtection="0"/>
    <xf numFmtId="170" fontId="145" fillId="49" borderId="0" applyNumberFormat="0" applyBorder="0" applyAlignment="0" applyProtection="0"/>
    <xf numFmtId="170" fontId="122" fillId="0" borderId="4">
      <alignment vertical="top" wrapText="1"/>
    </xf>
    <xf numFmtId="170" fontId="122" fillId="0" borderId="4">
      <alignment vertical="top" wrapText="1"/>
    </xf>
    <xf numFmtId="170" fontId="122" fillId="0" borderId="4">
      <alignment vertical="top" wrapText="1"/>
    </xf>
    <xf numFmtId="170" fontId="122" fillId="0" borderId="4">
      <alignment vertical="top" wrapText="1"/>
    </xf>
    <xf numFmtId="170" fontId="122" fillId="0" borderId="4">
      <alignment vertical="top" wrapText="1"/>
    </xf>
    <xf numFmtId="170" fontId="122" fillId="0" borderId="4">
      <alignment vertical="top" wrapText="1"/>
    </xf>
    <xf numFmtId="40" fontId="147" fillId="0" borderId="0" applyFont="0" applyFill="0" applyBorder="0" applyAlignment="0" applyProtection="0"/>
    <xf numFmtId="37" fontId="148" fillId="0" borderId="0"/>
    <xf numFmtId="170" fontId="149" fillId="0" borderId="0"/>
    <xf numFmtId="170" fontId="149" fillId="0" borderId="0"/>
    <xf numFmtId="170" fontId="149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131" fillId="0" borderId="0"/>
    <xf numFmtId="170" fontId="131" fillId="0" borderId="0"/>
    <xf numFmtId="170" fontId="150" fillId="0" borderId="0"/>
    <xf numFmtId="170" fontId="131" fillId="0" borderId="0"/>
    <xf numFmtId="170" fontId="131" fillId="0" borderId="0"/>
    <xf numFmtId="170" fontId="150" fillId="0" borderId="0"/>
    <xf numFmtId="170" fontId="131" fillId="0" borderId="0"/>
    <xf numFmtId="170" fontId="131" fillId="0" borderId="0"/>
    <xf numFmtId="170" fontId="150" fillId="0" borderId="0"/>
    <xf numFmtId="170" fontId="131" fillId="0" borderId="0"/>
    <xf numFmtId="170" fontId="131" fillId="0" borderId="0"/>
    <xf numFmtId="170" fontId="150" fillId="0" borderId="0"/>
    <xf numFmtId="170" fontId="131" fillId="0" borderId="0"/>
    <xf numFmtId="170" fontId="131" fillId="0" borderId="0"/>
    <xf numFmtId="170" fontId="150" fillId="0" borderId="0"/>
    <xf numFmtId="170" fontId="131" fillId="0" borderId="0"/>
    <xf numFmtId="170" fontId="131" fillId="0" borderId="0"/>
    <xf numFmtId="170" fontId="150" fillId="0" borderId="0"/>
    <xf numFmtId="170" fontId="131" fillId="0" borderId="0"/>
    <xf numFmtId="170" fontId="131" fillId="0" borderId="0"/>
    <xf numFmtId="170" fontId="150" fillId="0" borderId="0"/>
    <xf numFmtId="170" fontId="131" fillId="0" borderId="0"/>
    <xf numFmtId="170" fontId="131" fillId="0" borderId="0"/>
    <xf numFmtId="170" fontId="150" fillId="0" borderId="0"/>
    <xf numFmtId="170" fontId="150" fillId="0" borderId="0"/>
    <xf numFmtId="170" fontId="150" fillId="0" borderId="0"/>
    <xf numFmtId="170" fontId="150" fillId="0" borderId="0"/>
    <xf numFmtId="170" fontId="150" fillId="0" borderId="0"/>
    <xf numFmtId="170" fontId="150" fillId="0" borderId="0"/>
    <xf numFmtId="170" fontId="150" fillId="0" borderId="0"/>
    <xf numFmtId="170" fontId="150" fillId="0" borderId="0"/>
    <xf numFmtId="170" fontId="150" fillId="0" borderId="0"/>
    <xf numFmtId="170" fontId="150" fillId="0" borderId="0"/>
    <xf numFmtId="170" fontId="150" fillId="0" borderId="0"/>
    <xf numFmtId="170" fontId="150" fillId="0" borderId="0"/>
    <xf numFmtId="170" fontId="150" fillId="0" borderId="0"/>
    <xf numFmtId="170" fontId="150" fillId="0" borderId="0"/>
    <xf numFmtId="170" fontId="150" fillId="0" borderId="0"/>
    <xf numFmtId="170" fontId="150" fillId="0" borderId="0"/>
    <xf numFmtId="170" fontId="150" fillId="0" borderId="0"/>
    <xf numFmtId="170" fontId="150" fillId="0" borderId="0"/>
    <xf numFmtId="170" fontId="150" fillId="0" borderId="0"/>
    <xf numFmtId="170" fontId="150" fillId="0" borderId="0"/>
    <xf numFmtId="170" fontId="150" fillId="0" borderId="0"/>
    <xf numFmtId="170" fontId="150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77" fillId="0" borderId="0"/>
    <xf numFmtId="170" fontId="77" fillId="0" borderId="0"/>
    <xf numFmtId="170" fontId="26" fillId="0" borderId="0"/>
    <xf numFmtId="170" fontId="26" fillId="0" borderId="0"/>
    <xf numFmtId="170" fontId="26" fillId="0" borderId="0"/>
    <xf numFmtId="170" fontId="79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1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0" fontId="26" fillId="0" borderId="0"/>
    <xf numFmtId="0" fontId="26" fillId="0" borderId="0"/>
    <xf numFmtId="170" fontId="26" fillId="0" borderId="0"/>
    <xf numFmtId="0" fontId="26" fillId="0" borderId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152" fillId="48" borderId="24" applyNumberFormat="0" applyAlignment="0" applyProtection="0"/>
    <xf numFmtId="170" fontId="152" fillId="48" borderId="24" applyNumberFormat="0" applyAlignment="0" applyProtection="0"/>
    <xf numFmtId="170" fontId="152" fillId="48" borderId="24" applyNumberFormat="0" applyAlignment="0" applyProtection="0"/>
    <xf numFmtId="170" fontId="153" fillId="0" borderId="0" applyNumberFormat="0" applyFill="0" applyBorder="0" applyAlignment="0" applyProtection="0">
      <alignment vertical="top"/>
      <protection locked="0"/>
    </xf>
    <xf numFmtId="170" fontId="153" fillId="0" borderId="0" applyNumberFormat="0" applyFill="0" applyBorder="0" applyAlignment="0" applyProtection="0">
      <alignment vertical="top"/>
      <protection locked="0"/>
    </xf>
    <xf numFmtId="40" fontId="154" fillId="0" borderId="0" applyFont="0" applyFill="0" applyBorder="0" applyAlignment="0" applyProtection="0"/>
    <xf numFmtId="38" fontId="154" fillId="0" borderId="0" applyFont="0" applyFill="0" applyBorder="0" applyAlignment="0" applyProtection="0"/>
    <xf numFmtId="170" fontId="39" fillId="0" borderId="0" applyFont="0" applyFill="0" applyBorder="0" applyAlignment="0" applyProtection="0"/>
    <xf numFmtId="170" fontId="39" fillId="0" borderId="0" applyFont="0" applyFill="0" applyBorder="0" applyAlignment="0" applyProtection="0"/>
    <xf numFmtId="170" fontId="40" fillId="0" borderId="0" applyFont="0" applyFill="0" applyBorder="0" applyAlignment="0" applyProtection="0"/>
    <xf numFmtId="170" fontId="32" fillId="0" borderId="25" applyNumberFormat="0" applyFill="0" applyAlignment="0" applyProtection="0"/>
    <xf numFmtId="170" fontId="32" fillId="0" borderId="25" applyNumberFormat="0" applyFill="0" applyAlignment="0" applyProtection="0"/>
    <xf numFmtId="170" fontId="32" fillId="0" borderId="25" applyNumberFormat="0" applyFill="0" applyAlignment="0" applyProtection="0"/>
    <xf numFmtId="170" fontId="32" fillId="0" borderId="25" applyNumberFormat="0" applyFill="0" applyAlignment="0" applyProtection="0"/>
    <xf numFmtId="170" fontId="155" fillId="42" borderId="23" applyNumberFormat="0" applyAlignment="0" applyProtection="0"/>
    <xf numFmtId="170" fontId="155" fillId="42" borderId="23" applyNumberFormat="0" applyAlignment="0" applyProtection="0"/>
    <xf numFmtId="40" fontId="156" fillId="33" borderId="0">
      <alignment horizontal="right"/>
    </xf>
    <xf numFmtId="170" fontId="157" fillId="85" borderId="0">
      <alignment horizontal="center" vertical="center"/>
    </xf>
    <xf numFmtId="170" fontId="157" fillId="85" borderId="0">
      <alignment horizontal="center" vertical="center"/>
    </xf>
    <xf numFmtId="170" fontId="158" fillId="85" borderId="0">
      <alignment horizontal="center" vertical="center"/>
    </xf>
    <xf numFmtId="170" fontId="159" fillId="86" borderId="5"/>
    <xf numFmtId="170" fontId="159" fillId="86" borderId="5"/>
    <xf numFmtId="170" fontId="160" fillId="86" borderId="5"/>
    <xf numFmtId="170" fontId="161" fillId="33" borderId="0" applyBorder="0">
      <alignment horizontal="centerContinuous"/>
    </xf>
    <xf numFmtId="170" fontId="161" fillId="33" borderId="0" applyBorder="0">
      <alignment horizontal="centerContinuous"/>
    </xf>
    <xf numFmtId="170" fontId="162" fillId="33" borderId="0" applyBorder="0">
      <alignment horizontal="centerContinuous"/>
    </xf>
    <xf numFmtId="170" fontId="163" fillId="33" borderId="0" applyBorder="0">
      <alignment horizontal="centerContinuous"/>
    </xf>
    <xf numFmtId="170" fontId="163" fillId="33" borderId="0" applyBorder="0">
      <alignment horizontal="centerContinuous"/>
    </xf>
    <xf numFmtId="170" fontId="164" fillId="33" borderId="0" applyBorder="0">
      <alignment horizontal="centerContinuous"/>
    </xf>
    <xf numFmtId="170" fontId="49" fillId="87" borderId="23" applyNumberFormat="0" applyAlignment="0" applyProtection="0"/>
    <xf numFmtId="14" fontId="48" fillId="0" borderId="0">
      <alignment horizontal="center" wrapText="1"/>
      <protection locked="0"/>
    </xf>
    <xf numFmtId="170" fontId="39" fillId="0" borderId="0"/>
    <xf numFmtId="170" fontId="39" fillId="0" borderId="0"/>
    <xf numFmtId="170" fontId="40" fillId="0" borderId="0"/>
    <xf numFmtId="209" fontId="26" fillId="0" borderId="0" applyFont="0" applyFill="0" applyBorder="0" applyAlignment="0" applyProtection="0"/>
    <xf numFmtId="209" fontId="26" fillId="0" borderId="0" applyFont="0" applyFill="0" applyBorder="0" applyAlignment="0" applyProtection="0"/>
    <xf numFmtId="209" fontId="26" fillId="0" borderId="0" applyFont="0" applyFill="0" applyBorder="0" applyAlignment="0" applyProtection="0"/>
    <xf numFmtId="209" fontId="26" fillId="0" borderId="0" applyFont="0" applyFill="0" applyBorder="0" applyAlignment="0" applyProtection="0"/>
    <xf numFmtId="210" fontId="26" fillId="0" borderId="0" applyFont="0" applyFill="0" applyBorder="0" applyAlignment="0" applyProtection="0"/>
    <xf numFmtId="210" fontId="26" fillId="0" borderId="0" applyFont="0" applyFill="0" applyBorder="0" applyAlignment="0" applyProtection="0"/>
    <xf numFmtId="210" fontId="26" fillId="0" borderId="0" applyFont="0" applyFill="0" applyBorder="0" applyAlignment="0" applyProtection="0"/>
    <xf numFmtId="210" fontId="26" fillId="0" borderId="0" applyFont="0" applyFill="0" applyBorder="0" applyAlignment="0" applyProtection="0"/>
    <xf numFmtId="10" fontId="26" fillId="0" borderId="0" applyFont="0" applyFill="0" applyBorder="0" applyAlignment="0" applyProtection="0"/>
    <xf numFmtId="10" fontId="26" fillId="0" borderId="0" applyFont="0" applyFill="0" applyBorder="0" applyAlignment="0" applyProtection="0"/>
    <xf numFmtId="10" fontId="26" fillId="0" borderId="0" applyFont="0" applyFill="0" applyBorder="0" applyAlignment="0" applyProtection="0"/>
    <xf numFmtId="10" fontId="26" fillId="0" borderId="0" applyFont="0" applyFill="0" applyBorder="0" applyAlignment="0" applyProtection="0"/>
    <xf numFmtId="211" fontId="165" fillId="0" borderId="0"/>
    <xf numFmtId="211" fontId="165" fillId="88" borderId="0"/>
    <xf numFmtId="9" fontId="77" fillId="0" borderId="0" applyFont="0" applyFill="0" applyBorder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151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70" fontId="26" fillId="43" borderId="22" applyNumberFormat="0" applyFont="0" applyAlignment="0" applyProtection="0"/>
    <xf numFmtId="180" fontId="26" fillId="0" borderId="0" applyFill="0" applyBorder="0" applyAlignment="0"/>
    <xf numFmtId="180" fontId="26" fillId="0" borderId="0" applyFill="0" applyBorder="0" applyAlignment="0"/>
    <xf numFmtId="180" fontId="26" fillId="0" borderId="0" applyFill="0" applyBorder="0" applyAlignment="0"/>
    <xf numFmtId="180" fontId="26" fillId="0" borderId="0" applyFill="0" applyBorder="0" applyAlignment="0"/>
    <xf numFmtId="180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80" fontId="26" fillId="0" borderId="0" applyFill="0" applyBorder="0" applyAlignment="0"/>
    <xf numFmtId="180" fontId="26" fillId="0" borderId="0" applyFill="0" applyBorder="0" applyAlignment="0"/>
    <xf numFmtId="180" fontId="26" fillId="0" borderId="0" applyFill="0" applyBorder="0" applyAlignment="0"/>
    <xf numFmtId="180" fontId="26" fillId="0" borderId="0" applyFill="0" applyBorder="0" applyAlignment="0"/>
    <xf numFmtId="180" fontId="26" fillId="0" borderId="0" applyFill="0" applyBorder="0" applyAlignment="0"/>
    <xf numFmtId="194" fontId="26" fillId="0" borderId="0" applyFill="0" applyBorder="0" applyAlignment="0"/>
    <xf numFmtId="194" fontId="26" fillId="0" borderId="0" applyFill="0" applyBorder="0" applyAlignment="0"/>
    <xf numFmtId="194" fontId="26" fillId="0" borderId="0" applyFill="0" applyBorder="0" applyAlignment="0"/>
    <xf numFmtId="194" fontId="26" fillId="0" borderId="0" applyFill="0" applyBorder="0" applyAlignment="0"/>
    <xf numFmtId="194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176" fontId="26" fillId="0" borderId="0" applyFill="0" applyBorder="0" applyAlignment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170" fontId="67" fillId="0" borderId="26" applyNumberFormat="0" applyFill="0" applyAlignment="0" applyProtection="0"/>
    <xf numFmtId="170" fontId="67" fillId="0" borderId="26" applyNumberFormat="0" applyFill="0" applyAlignment="0" applyProtection="0"/>
    <xf numFmtId="170" fontId="67" fillId="0" borderId="26" applyNumberFormat="0" applyFill="0" applyAlignment="0" applyProtection="0"/>
    <xf numFmtId="170" fontId="166" fillId="0" borderId="0"/>
    <xf numFmtId="170" fontId="147" fillId="0" borderId="0" applyNumberFormat="0" applyFont="0" applyFill="0" applyBorder="0" applyAlignment="0" applyProtection="0">
      <alignment horizontal="left"/>
    </xf>
    <xf numFmtId="170" fontId="147" fillId="0" borderId="0" applyNumberFormat="0" applyFont="0" applyFill="0" applyBorder="0" applyAlignment="0" applyProtection="0">
      <alignment horizontal="left"/>
    </xf>
    <xf numFmtId="15" fontId="147" fillId="0" borderId="0" applyFont="0" applyFill="0" applyBorder="0" applyAlignment="0" applyProtection="0"/>
    <xf numFmtId="4" fontId="147" fillId="0" borderId="0" applyFont="0" applyFill="0" applyBorder="0" applyAlignment="0" applyProtection="0"/>
    <xf numFmtId="170" fontId="59" fillId="0" borderId="16">
      <alignment horizontal="center"/>
    </xf>
    <xf numFmtId="170" fontId="59" fillId="0" borderId="16">
      <alignment horizontal="center"/>
    </xf>
    <xf numFmtId="170" fontId="59" fillId="0" borderId="16">
      <alignment horizontal="center"/>
    </xf>
    <xf numFmtId="3" fontId="147" fillId="0" borderId="0" applyFont="0" applyFill="0" applyBorder="0" applyAlignment="0" applyProtection="0"/>
    <xf numFmtId="170" fontId="147" fillId="89" borderId="0" applyNumberFormat="0" applyFont="0" applyBorder="0" applyAlignment="0" applyProtection="0"/>
    <xf numFmtId="170" fontId="147" fillId="89" borderId="0" applyNumberFormat="0" applyFont="0" applyBorder="0" applyAlignment="0" applyProtection="0"/>
    <xf numFmtId="170" fontId="167" fillId="78" borderId="2" applyFont="0" applyBorder="0" applyAlignment="0">
      <alignment horizontal="left"/>
    </xf>
    <xf numFmtId="170" fontId="167" fillId="78" borderId="2" applyFont="0" applyBorder="0" applyAlignment="0">
      <alignment horizontal="left"/>
    </xf>
    <xf numFmtId="170" fontId="168" fillId="78" borderId="2" applyFont="0" applyBorder="0" applyAlignment="0">
      <alignment horizontal="left"/>
    </xf>
    <xf numFmtId="170" fontId="169" fillId="78" borderId="2"/>
    <xf numFmtId="170" fontId="169" fillId="78" borderId="2"/>
    <xf numFmtId="170" fontId="170" fillId="78" borderId="2"/>
    <xf numFmtId="170" fontId="171" fillId="90" borderId="0" applyNumberFormat="0" applyFont="0" applyBorder="0" applyAlignment="0">
      <alignment horizontal="center"/>
    </xf>
    <xf numFmtId="170" fontId="171" fillId="90" borderId="0" applyNumberFormat="0" applyFont="0" applyBorder="0" applyAlignment="0">
      <alignment horizontal="center"/>
    </xf>
    <xf numFmtId="170" fontId="172" fillId="78" borderId="0"/>
    <xf numFmtId="170" fontId="172" fillId="78" borderId="0"/>
    <xf numFmtId="170" fontId="173" fillId="78" borderId="0"/>
    <xf numFmtId="212" fontId="110" fillId="0" borderId="0" applyNumberFormat="0" applyFill="0" applyBorder="0" applyAlignment="0" applyProtection="0">
      <alignment horizontal="left"/>
    </xf>
    <xf numFmtId="170" fontId="69" fillId="37" borderId="0" applyNumberFormat="0" applyBorder="0" applyAlignment="0" applyProtection="0"/>
    <xf numFmtId="170" fontId="69" fillId="37" borderId="0" applyNumberFormat="0" applyBorder="0" applyAlignment="0" applyProtection="0"/>
    <xf numFmtId="170" fontId="174" fillId="0" borderId="0" applyNumberFormat="0" applyFill="0" applyBorder="0" applyAlignment="0" applyProtection="0"/>
    <xf numFmtId="170" fontId="175" fillId="0" borderId="28" applyNumberFormat="0" applyFill="0" applyAlignment="0" applyProtection="0"/>
    <xf numFmtId="170" fontId="175" fillId="0" borderId="28" applyNumberFormat="0" applyFill="0" applyAlignment="0" applyProtection="0"/>
    <xf numFmtId="170" fontId="71" fillId="0" borderId="28" applyNumberFormat="0" applyFill="0" applyAlignment="0" applyProtection="0"/>
    <xf numFmtId="170" fontId="176" fillId="0" borderId="29" applyNumberFormat="0" applyFill="0" applyAlignment="0" applyProtection="0"/>
    <xf numFmtId="170" fontId="176" fillId="0" borderId="29" applyNumberFormat="0" applyFill="0" applyAlignment="0" applyProtection="0"/>
    <xf numFmtId="170" fontId="72" fillId="0" borderId="29" applyNumberFormat="0" applyFill="0" applyAlignment="0" applyProtection="0"/>
    <xf numFmtId="170" fontId="177" fillId="0" borderId="30" applyNumberFormat="0" applyFill="0" applyAlignment="0" applyProtection="0"/>
    <xf numFmtId="170" fontId="177" fillId="0" borderId="30" applyNumberFormat="0" applyFill="0" applyAlignment="0" applyProtection="0"/>
    <xf numFmtId="170" fontId="73" fillId="0" borderId="30" applyNumberFormat="0" applyFill="0" applyAlignment="0" applyProtection="0"/>
    <xf numFmtId="170" fontId="177" fillId="0" borderId="0" applyNumberFormat="0" applyFill="0" applyBorder="0" applyAlignment="0" applyProtection="0"/>
    <xf numFmtId="170" fontId="177" fillId="0" borderId="0" applyNumberFormat="0" applyFill="0" applyBorder="0" applyAlignment="0" applyProtection="0"/>
    <xf numFmtId="170" fontId="73" fillId="0" borderId="0" applyNumberFormat="0" applyFill="0" applyBorder="0" applyAlignment="0" applyProtection="0"/>
    <xf numFmtId="170" fontId="174" fillId="0" borderId="0" applyNumberFormat="0" applyFill="0" applyBorder="0" applyAlignment="0" applyProtection="0"/>
    <xf numFmtId="170" fontId="70" fillId="0" borderId="0" applyNumberFormat="0" applyFill="0" applyBorder="0" applyAlignment="0" applyProtection="0"/>
    <xf numFmtId="4" fontId="178" fillId="49" borderId="35" applyNumberFormat="0" applyProtection="0">
      <alignment vertical="center"/>
    </xf>
    <xf numFmtId="4" fontId="179" fillId="49" borderId="35" applyNumberFormat="0" applyProtection="0">
      <alignment vertical="center"/>
    </xf>
    <xf numFmtId="4" fontId="178" fillId="49" borderId="35" applyNumberFormat="0" applyProtection="0">
      <alignment horizontal="left" vertical="center" indent="1"/>
    </xf>
    <xf numFmtId="170" fontId="178" fillId="49" borderId="35" applyNumberFormat="0" applyProtection="0">
      <alignment horizontal="left" vertical="top" indent="1"/>
    </xf>
    <xf numFmtId="170" fontId="178" fillId="49" borderId="35" applyNumberFormat="0" applyProtection="0">
      <alignment horizontal="left" vertical="top" indent="1"/>
    </xf>
    <xf numFmtId="170" fontId="180" fillId="49" borderId="35" applyNumberFormat="0" applyProtection="0">
      <alignment horizontal="left" vertical="top"/>
    </xf>
    <xf numFmtId="4" fontId="178" fillId="91" borderId="0" applyNumberFormat="0" applyProtection="0">
      <alignment horizontal="left" vertical="center" indent="1"/>
    </xf>
    <xf numFmtId="4" fontId="91" fillId="37" borderId="35" applyNumberFormat="0" applyProtection="0">
      <alignment horizontal="right" vertical="center"/>
    </xf>
    <xf numFmtId="4" fontId="91" fillId="45" borderId="35" applyNumberFormat="0" applyProtection="0">
      <alignment horizontal="right" vertical="center"/>
    </xf>
    <xf numFmtId="4" fontId="91" fillId="59" borderId="35" applyNumberFormat="0" applyProtection="0">
      <alignment horizontal="right" vertical="center"/>
    </xf>
    <xf numFmtId="4" fontId="91" fillId="47" borderId="35" applyNumberFormat="0" applyProtection="0">
      <alignment horizontal="right" vertical="center"/>
    </xf>
    <xf numFmtId="4" fontId="91" fillId="53" borderId="35" applyNumberFormat="0" applyProtection="0">
      <alignment horizontal="right" vertical="center"/>
    </xf>
    <xf numFmtId="4" fontId="91" fillId="71" borderId="35" applyNumberFormat="0" applyProtection="0">
      <alignment horizontal="right" vertical="center"/>
    </xf>
    <xf numFmtId="4" fontId="91" fillId="64" borderId="35" applyNumberFormat="0" applyProtection="0">
      <alignment horizontal="right" vertical="center"/>
    </xf>
    <xf numFmtId="4" fontId="91" fillId="92" borderId="35" applyNumberFormat="0" applyProtection="0">
      <alignment horizontal="right" vertical="center"/>
    </xf>
    <xf numFmtId="4" fontId="91" fillId="46" borderId="35" applyNumberFormat="0" applyProtection="0">
      <alignment horizontal="right" vertical="center"/>
    </xf>
    <xf numFmtId="4" fontId="178" fillId="93" borderId="36" applyNumberFormat="0" applyProtection="0">
      <alignment horizontal="left" vertical="center" indent="1"/>
    </xf>
    <xf numFmtId="4" fontId="91" fillId="94" borderId="0" applyNumberFormat="0" applyProtection="0">
      <alignment horizontal="left" vertical="center" indent="1"/>
    </xf>
    <xf numFmtId="4" fontId="181" fillId="68" borderId="0" applyNumberFormat="0" applyProtection="0">
      <alignment horizontal="left" vertical="center" indent="1"/>
    </xf>
    <xf numFmtId="4" fontId="91" fillId="91" borderId="35" applyNumberFormat="0" applyProtection="0">
      <alignment horizontal="right" vertical="center"/>
    </xf>
    <xf numFmtId="4" fontId="182" fillId="94" borderId="0" applyNumberFormat="0" applyProtection="0">
      <alignment horizontal="left" vertical="center" indent="1"/>
    </xf>
    <xf numFmtId="4" fontId="182" fillId="91" borderId="0" applyNumberFormat="0" applyProtection="0">
      <alignment horizontal="left" vertical="center" indent="1"/>
    </xf>
    <xf numFmtId="170" fontId="26" fillId="68" borderId="35" applyNumberFormat="0" applyProtection="0">
      <alignment horizontal="left" vertical="center" indent="1"/>
    </xf>
    <xf numFmtId="170" fontId="26" fillId="68" borderId="35" applyNumberFormat="0" applyProtection="0">
      <alignment horizontal="left" vertical="center" indent="1"/>
    </xf>
    <xf numFmtId="170" fontId="26" fillId="68" borderId="35" applyNumberFormat="0" applyProtection="0">
      <alignment horizontal="left" vertical="center" indent="1"/>
    </xf>
    <xf numFmtId="170" fontId="26" fillId="68" borderId="35" applyNumberFormat="0" applyProtection="0">
      <alignment horizontal="left" vertical="center" indent="1"/>
    </xf>
    <xf numFmtId="170" fontId="26" fillId="68" borderId="35" applyNumberFormat="0" applyProtection="0">
      <alignment horizontal="left" vertical="center" indent="1"/>
    </xf>
    <xf numFmtId="170" fontId="26" fillId="68" borderId="35" applyNumberFormat="0" applyProtection="0">
      <alignment horizontal="left" vertical="center"/>
    </xf>
    <xf numFmtId="170" fontId="26" fillId="68" borderId="35" applyNumberFormat="0" applyProtection="0">
      <alignment horizontal="left" vertical="center" indent="1"/>
    </xf>
    <xf numFmtId="170" fontId="26" fillId="68" borderId="35" applyNumberFormat="0" applyProtection="0">
      <alignment horizontal="left" vertical="center" indent="1"/>
    </xf>
    <xf numFmtId="170" fontId="26" fillId="68" borderId="35" applyNumberFormat="0" applyProtection="0">
      <alignment horizontal="left" vertical="center" indent="1"/>
    </xf>
    <xf numFmtId="170" fontId="26" fillId="68" borderId="35" applyNumberFormat="0" applyProtection="0">
      <alignment horizontal="left" vertical="center"/>
    </xf>
    <xf numFmtId="170" fontId="26" fillId="68" borderId="35" applyNumberFormat="0" applyProtection="0">
      <alignment horizontal="left" vertical="top" indent="1"/>
    </xf>
    <xf numFmtId="170" fontId="26" fillId="68" borderId="35" applyNumberFormat="0" applyProtection="0">
      <alignment horizontal="left" vertical="top" indent="1"/>
    </xf>
    <xf numFmtId="170" fontId="26" fillId="68" borderId="35" applyNumberFormat="0" applyProtection="0">
      <alignment horizontal="left" vertical="top" indent="1"/>
    </xf>
    <xf numFmtId="170" fontId="26" fillId="68" borderId="35" applyNumberFormat="0" applyProtection="0">
      <alignment horizontal="left" vertical="top" indent="1"/>
    </xf>
    <xf numFmtId="170" fontId="26" fillId="68" borderId="35" applyNumberFormat="0" applyProtection="0">
      <alignment horizontal="left" vertical="top" indent="1"/>
    </xf>
    <xf numFmtId="170" fontId="26" fillId="68" borderId="35" applyNumberFormat="0" applyProtection="0">
      <alignment horizontal="left" vertical="top"/>
    </xf>
    <xf numFmtId="170" fontId="26" fillId="68" borderId="35" applyNumberFormat="0" applyProtection="0">
      <alignment horizontal="left" vertical="top" indent="1"/>
    </xf>
    <xf numFmtId="170" fontId="26" fillId="68" borderId="35" applyNumberFormat="0" applyProtection="0">
      <alignment horizontal="left" vertical="top" indent="1"/>
    </xf>
    <xf numFmtId="170" fontId="26" fillId="68" borderId="35" applyNumberFormat="0" applyProtection="0">
      <alignment horizontal="left" vertical="top" indent="1"/>
    </xf>
    <xf numFmtId="170" fontId="26" fillId="68" borderId="35" applyNumberFormat="0" applyProtection="0">
      <alignment horizontal="left" vertical="top"/>
    </xf>
    <xf numFmtId="170" fontId="26" fillId="91" borderId="35" applyNumberFormat="0" applyProtection="0">
      <alignment horizontal="left" vertical="center" indent="1"/>
    </xf>
    <xf numFmtId="170" fontId="26" fillId="91" borderId="35" applyNumberFormat="0" applyProtection="0">
      <alignment horizontal="left" vertical="center" indent="1"/>
    </xf>
    <xf numFmtId="170" fontId="26" fillId="91" borderId="35" applyNumberFormat="0" applyProtection="0">
      <alignment horizontal="left" vertical="center" indent="1"/>
    </xf>
    <xf numFmtId="170" fontId="26" fillId="91" borderId="35" applyNumberFormat="0" applyProtection="0">
      <alignment horizontal="left" vertical="center" indent="1"/>
    </xf>
    <xf numFmtId="170" fontId="26" fillId="91" borderId="35" applyNumberFormat="0" applyProtection="0">
      <alignment horizontal="left" vertical="center" indent="1"/>
    </xf>
    <xf numFmtId="170" fontId="26" fillId="91" borderId="35" applyNumberFormat="0" applyProtection="0">
      <alignment horizontal="left" vertical="center"/>
    </xf>
    <xf numFmtId="170" fontId="26" fillId="91" borderId="35" applyNumberFormat="0" applyProtection="0">
      <alignment horizontal="left" vertical="center" indent="1"/>
    </xf>
    <xf numFmtId="170" fontId="26" fillId="91" borderId="35" applyNumberFormat="0" applyProtection="0">
      <alignment horizontal="left" vertical="center" indent="1"/>
    </xf>
    <xf numFmtId="170" fontId="26" fillId="91" borderId="35" applyNumberFormat="0" applyProtection="0">
      <alignment horizontal="left" vertical="center" indent="1"/>
    </xf>
    <xf numFmtId="170" fontId="26" fillId="91" borderId="35" applyNumberFormat="0" applyProtection="0">
      <alignment horizontal="left" vertical="center"/>
    </xf>
    <xf numFmtId="170" fontId="26" fillId="91" borderId="35" applyNumberFormat="0" applyProtection="0">
      <alignment horizontal="left" vertical="top" indent="1"/>
    </xf>
    <xf numFmtId="170" fontId="26" fillId="91" borderId="35" applyNumberFormat="0" applyProtection="0">
      <alignment horizontal="left" vertical="top" indent="1"/>
    </xf>
    <xf numFmtId="170" fontId="26" fillId="91" borderId="35" applyNumberFormat="0" applyProtection="0">
      <alignment horizontal="left" vertical="top" indent="1"/>
    </xf>
    <xf numFmtId="170" fontId="26" fillId="91" borderId="35" applyNumberFormat="0" applyProtection="0">
      <alignment horizontal="left" vertical="top" indent="1"/>
    </xf>
    <xf numFmtId="170" fontId="26" fillId="91" borderId="35" applyNumberFormat="0" applyProtection="0">
      <alignment horizontal="left" vertical="top" indent="1"/>
    </xf>
    <xf numFmtId="170" fontId="26" fillId="91" borderId="35" applyNumberFormat="0" applyProtection="0">
      <alignment horizontal="left" vertical="top"/>
    </xf>
    <xf numFmtId="170" fontId="26" fillId="91" borderId="35" applyNumberFormat="0" applyProtection="0">
      <alignment horizontal="left" vertical="top" indent="1"/>
    </xf>
    <xf numFmtId="170" fontId="26" fillId="91" borderId="35" applyNumberFormat="0" applyProtection="0">
      <alignment horizontal="left" vertical="top" indent="1"/>
    </xf>
    <xf numFmtId="170" fontId="26" fillId="91" borderId="35" applyNumberFormat="0" applyProtection="0">
      <alignment horizontal="left" vertical="top" indent="1"/>
    </xf>
    <xf numFmtId="170" fontId="26" fillId="91" borderId="35" applyNumberFormat="0" applyProtection="0">
      <alignment horizontal="left" vertical="top"/>
    </xf>
    <xf numFmtId="170" fontId="26" fillId="44" borderId="35" applyNumberFormat="0" applyProtection="0">
      <alignment horizontal="left" vertical="center" indent="1"/>
    </xf>
    <xf numFmtId="170" fontId="26" fillId="44" borderId="35" applyNumberFormat="0" applyProtection="0">
      <alignment horizontal="left" vertical="center" indent="1"/>
    </xf>
    <xf numFmtId="170" fontId="26" fillId="44" borderId="35" applyNumberFormat="0" applyProtection="0">
      <alignment horizontal="left" vertical="center" indent="1"/>
    </xf>
    <xf numFmtId="170" fontId="26" fillId="44" borderId="35" applyNumberFormat="0" applyProtection="0">
      <alignment horizontal="left" vertical="center" indent="1"/>
    </xf>
    <xf numFmtId="170" fontId="26" fillId="44" borderId="35" applyNumberFormat="0" applyProtection="0">
      <alignment horizontal="left" vertical="center" indent="1"/>
    </xf>
    <xf numFmtId="170" fontId="26" fillId="44" borderId="35" applyNumberFormat="0" applyProtection="0">
      <alignment horizontal="left" vertical="center"/>
    </xf>
    <xf numFmtId="170" fontId="26" fillId="44" borderId="35" applyNumberFormat="0" applyProtection="0">
      <alignment horizontal="left" vertical="center" indent="1"/>
    </xf>
    <xf numFmtId="170" fontId="26" fillId="44" borderId="35" applyNumberFormat="0" applyProtection="0">
      <alignment horizontal="left" vertical="center" indent="1"/>
    </xf>
    <xf numFmtId="170" fontId="26" fillId="44" borderId="35" applyNumberFormat="0" applyProtection="0">
      <alignment horizontal="left" vertical="center" indent="1"/>
    </xf>
    <xf numFmtId="170" fontId="26" fillId="44" borderId="35" applyNumberFormat="0" applyProtection="0">
      <alignment horizontal="left" vertical="center"/>
    </xf>
    <xf numFmtId="170" fontId="26" fillId="44" borderId="35" applyNumberFormat="0" applyProtection="0">
      <alignment horizontal="left" vertical="top" indent="1"/>
    </xf>
    <xf numFmtId="170" fontId="26" fillId="44" borderId="35" applyNumberFormat="0" applyProtection="0">
      <alignment horizontal="left" vertical="top" indent="1"/>
    </xf>
    <xf numFmtId="170" fontId="26" fillId="44" borderId="35" applyNumberFormat="0" applyProtection="0">
      <alignment horizontal="left" vertical="top" indent="1"/>
    </xf>
    <xf numFmtId="170" fontId="26" fillId="44" borderId="35" applyNumberFormat="0" applyProtection="0">
      <alignment horizontal="left" vertical="top" indent="1"/>
    </xf>
    <xf numFmtId="170" fontId="26" fillId="44" borderId="35" applyNumberFormat="0" applyProtection="0">
      <alignment horizontal="left" vertical="top" indent="1"/>
    </xf>
    <xf numFmtId="170" fontId="26" fillId="44" borderId="35" applyNumberFormat="0" applyProtection="0">
      <alignment horizontal="left" vertical="top"/>
    </xf>
    <xf numFmtId="170" fontId="26" fillId="44" borderId="35" applyNumberFormat="0" applyProtection="0">
      <alignment horizontal="left" vertical="top" indent="1"/>
    </xf>
    <xf numFmtId="170" fontId="26" fillId="44" borderId="35" applyNumberFormat="0" applyProtection="0">
      <alignment horizontal="left" vertical="top" indent="1"/>
    </xf>
    <xf numFmtId="170" fontId="26" fillId="44" borderId="35" applyNumberFormat="0" applyProtection="0">
      <alignment horizontal="left" vertical="top" indent="1"/>
    </xf>
    <xf numFmtId="170" fontId="26" fillId="44" borderId="35" applyNumberFormat="0" applyProtection="0">
      <alignment horizontal="left" vertical="top"/>
    </xf>
    <xf numFmtId="170" fontId="26" fillId="94" borderId="35" applyNumberFormat="0" applyProtection="0">
      <alignment horizontal="left" vertical="center" indent="1"/>
    </xf>
    <xf numFmtId="170" fontId="26" fillId="94" borderId="35" applyNumberFormat="0" applyProtection="0">
      <alignment horizontal="left" vertical="center" indent="1"/>
    </xf>
    <xf numFmtId="170" fontId="26" fillId="94" borderId="35" applyNumberFormat="0" applyProtection="0">
      <alignment horizontal="left" vertical="center" indent="1"/>
    </xf>
    <xf numFmtId="170" fontId="26" fillId="94" borderId="35" applyNumberFormat="0" applyProtection="0">
      <alignment horizontal="left" vertical="center" indent="1"/>
    </xf>
    <xf numFmtId="170" fontId="26" fillId="94" borderId="35" applyNumberFormat="0" applyProtection="0">
      <alignment horizontal="left" vertical="center" indent="1"/>
    </xf>
    <xf numFmtId="170" fontId="26" fillId="94" borderId="35" applyNumberFormat="0" applyProtection="0">
      <alignment horizontal="left" vertical="center"/>
    </xf>
    <xf numFmtId="170" fontId="26" fillId="94" borderId="35" applyNumberFormat="0" applyProtection="0">
      <alignment horizontal="left" vertical="center" indent="1"/>
    </xf>
    <xf numFmtId="170" fontId="26" fillId="94" borderId="35" applyNumberFormat="0" applyProtection="0">
      <alignment horizontal="left" vertical="center" indent="1"/>
    </xf>
    <xf numFmtId="170" fontId="26" fillId="94" borderId="35" applyNumberFormat="0" applyProtection="0">
      <alignment horizontal="left" vertical="center" indent="1"/>
    </xf>
    <xf numFmtId="170" fontId="26" fillId="94" borderId="35" applyNumberFormat="0" applyProtection="0">
      <alignment horizontal="left" vertical="center"/>
    </xf>
    <xf numFmtId="170" fontId="26" fillId="94" borderId="35" applyNumberFormat="0" applyProtection="0">
      <alignment horizontal="left" vertical="top" indent="1"/>
    </xf>
    <xf numFmtId="170" fontId="26" fillId="94" borderId="35" applyNumberFormat="0" applyProtection="0">
      <alignment horizontal="left" vertical="top" indent="1"/>
    </xf>
    <xf numFmtId="170" fontId="26" fillId="94" borderId="35" applyNumberFormat="0" applyProtection="0">
      <alignment horizontal="left" vertical="top" indent="1"/>
    </xf>
    <xf numFmtId="170" fontId="26" fillId="94" borderId="35" applyNumberFormat="0" applyProtection="0">
      <alignment horizontal="left" vertical="top" indent="1"/>
    </xf>
    <xf numFmtId="170" fontId="26" fillId="94" borderId="35" applyNumberFormat="0" applyProtection="0">
      <alignment horizontal="left" vertical="top" indent="1"/>
    </xf>
    <xf numFmtId="170" fontId="26" fillId="94" borderId="35" applyNumberFormat="0" applyProtection="0">
      <alignment horizontal="left" vertical="top"/>
    </xf>
    <xf numFmtId="170" fontId="26" fillId="94" borderId="35" applyNumberFormat="0" applyProtection="0">
      <alignment horizontal="left" vertical="top" indent="1"/>
    </xf>
    <xf numFmtId="170" fontId="26" fillId="94" borderId="35" applyNumberFormat="0" applyProtection="0">
      <alignment horizontal="left" vertical="top" indent="1"/>
    </xf>
    <xf numFmtId="170" fontId="26" fillId="94" borderId="35" applyNumberFormat="0" applyProtection="0">
      <alignment horizontal="left" vertical="top" indent="1"/>
    </xf>
    <xf numFmtId="170" fontId="26" fillId="94" borderId="35" applyNumberFormat="0" applyProtection="0">
      <alignment horizontal="left" vertical="top"/>
    </xf>
    <xf numFmtId="170" fontId="26" fillId="42" borderId="4" applyNumberFormat="0">
      <protection locked="0"/>
    </xf>
    <xf numFmtId="170" fontId="26" fillId="42" borderId="4" applyNumberFormat="0">
      <protection locked="0"/>
    </xf>
    <xf numFmtId="170" fontId="26" fillId="42" borderId="4" applyNumberFormat="0">
      <protection locked="0"/>
    </xf>
    <xf numFmtId="170" fontId="26" fillId="42" borderId="4" applyNumberFormat="0">
      <protection locked="0"/>
    </xf>
    <xf numFmtId="170" fontId="26" fillId="42" borderId="4" applyNumberFormat="0">
      <protection locked="0"/>
    </xf>
    <xf numFmtId="170" fontId="26" fillId="42" borderId="4" applyNumberFormat="0">
      <protection locked="0"/>
    </xf>
    <xf numFmtId="170" fontId="26" fillId="42" borderId="4" applyNumberFormat="0">
      <protection locked="0"/>
    </xf>
    <xf numFmtId="170" fontId="26" fillId="42" borderId="4" applyNumberFormat="0">
      <protection locked="0"/>
    </xf>
    <xf numFmtId="170" fontId="26" fillId="42" borderId="4" applyNumberFormat="0">
      <protection locked="0"/>
    </xf>
    <xf numFmtId="170" fontId="74" fillId="68" borderId="37" applyBorder="0"/>
    <xf numFmtId="170" fontId="74" fillId="68" borderId="37" applyBorder="0"/>
    <xf numFmtId="170" fontId="75" fillId="68" borderId="37" applyBorder="0"/>
    <xf numFmtId="4" fontId="91" fillId="43" borderId="35" applyNumberFormat="0" applyProtection="0">
      <alignment vertical="center"/>
    </xf>
    <xf numFmtId="4" fontId="183" fillId="43" borderId="35" applyNumberFormat="0" applyProtection="0">
      <alignment vertical="center"/>
    </xf>
    <xf numFmtId="4" fontId="91" fillId="43" borderId="35" applyNumberFormat="0" applyProtection="0">
      <alignment horizontal="left" vertical="center" indent="1"/>
    </xf>
    <xf numFmtId="170" fontId="91" fillId="43" borderId="35" applyNumberFormat="0" applyProtection="0">
      <alignment horizontal="left" vertical="top" indent="1"/>
    </xf>
    <xf numFmtId="170" fontId="91" fillId="43" borderId="35" applyNumberFormat="0" applyProtection="0">
      <alignment horizontal="left" vertical="top" indent="1"/>
    </xf>
    <xf numFmtId="170" fontId="182" fillId="43" borderId="35" applyNumberFormat="0" applyProtection="0">
      <alignment horizontal="left" vertical="top"/>
    </xf>
    <xf numFmtId="4" fontId="91" fillId="94" borderId="35" applyNumberFormat="0" applyProtection="0">
      <alignment horizontal="right" vertical="center"/>
    </xf>
    <xf numFmtId="4" fontId="183" fillId="94" borderId="35" applyNumberFormat="0" applyProtection="0">
      <alignment horizontal="right" vertical="center"/>
    </xf>
    <xf numFmtId="4" fontId="91" fillId="91" borderId="35" applyNumberFormat="0" applyProtection="0">
      <alignment horizontal="left" vertical="center" indent="1"/>
    </xf>
    <xf numFmtId="170" fontId="91" fillId="91" borderId="35" applyNumberFormat="0" applyProtection="0">
      <alignment horizontal="left" vertical="top" indent="1"/>
    </xf>
    <xf numFmtId="170" fontId="91" fillId="91" borderId="35" applyNumberFormat="0" applyProtection="0">
      <alignment horizontal="left" vertical="top" indent="1"/>
    </xf>
    <xf numFmtId="170" fontId="182" fillId="91" borderId="35" applyNumberFormat="0" applyProtection="0">
      <alignment horizontal="left" vertical="top"/>
    </xf>
    <xf numFmtId="4" fontId="184" fillId="83" borderId="0" applyNumberFormat="0" applyProtection="0">
      <alignment horizontal="left" vertical="center" indent="1"/>
    </xf>
    <xf numFmtId="170" fontId="65" fillId="95" borderId="4"/>
    <xf numFmtId="170" fontId="65" fillId="95" borderId="4"/>
    <xf numFmtId="170" fontId="79" fillId="95" borderId="4"/>
    <xf numFmtId="4" fontId="185" fillId="94" borderId="35" applyNumberFormat="0" applyProtection="0">
      <alignment horizontal="right" vertical="center"/>
    </xf>
    <xf numFmtId="170" fontId="60" fillId="38" borderId="0" applyNumberFormat="0" applyBorder="0" applyAlignment="0" applyProtection="0"/>
    <xf numFmtId="170" fontId="60" fillId="38" borderId="0" applyNumberFormat="0" applyBorder="0" applyAlignment="0" applyProtection="0"/>
    <xf numFmtId="170" fontId="61" fillId="38" borderId="0" applyNumberFormat="0" applyBorder="0" applyAlignment="0" applyProtection="0"/>
    <xf numFmtId="170" fontId="186" fillId="0" borderId="0">
      <alignment horizontal="right"/>
    </xf>
    <xf numFmtId="170" fontId="186" fillId="0" borderId="0">
      <alignment horizontal="right"/>
    </xf>
    <xf numFmtId="170" fontId="187" fillId="0" borderId="0">
      <alignment horizontal="right"/>
    </xf>
    <xf numFmtId="170" fontId="82" fillId="37" borderId="0" applyNumberFormat="0" applyBorder="0" applyAlignment="0" applyProtection="0"/>
    <xf numFmtId="170" fontId="82" fillId="37" borderId="0" applyNumberFormat="0" applyBorder="0" applyAlignment="0" applyProtection="0"/>
    <xf numFmtId="170" fontId="82" fillId="37" borderId="0" applyNumberFormat="0" applyBorder="0" applyAlignment="0" applyProtection="0"/>
    <xf numFmtId="170" fontId="69" fillId="37" borderId="0" applyNumberFormat="0" applyBorder="0" applyAlignment="0" applyProtection="0"/>
    <xf numFmtId="170" fontId="145" fillId="49" borderId="0" applyNumberFormat="0" applyBorder="0" applyAlignment="0" applyProtection="0"/>
    <xf numFmtId="170" fontId="145" fillId="49" borderId="0" applyNumberFormat="0" applyBorder="0" applyAlignment="0" applyProtection="0"/>
    <xf numFmtId="166" fontId="26" fillId="0" borderId="0" applyFont="0" applyFill="0" applyBorder="0" applyAlignment="0" applyProtection="0"/>
    <xf numFmtId="170" fontId="171" fillId="1" borderId="15" applyNumberFormat="0" applyFont="0" applyAlignment="0">
      <alignment horizontal="center"/>
    </xf>
    <xf numFmtId="170" fontId="171" fillId="1" borderId="15" applyNumberFormat="0" applyFont="0" applyAlignment="0">
      <alignment horizontal="center"/>
    </xf>
    <xf numFmtId="170" fontId="188" fillId="0" borderId="0" applyNumberFormat="0" applyFill="0" applyBorder="0" applyAlignment="0" applyProtection="0"/>
    <xf numFmtId="170" fontId="188" fillId="0" borderId="0" applyNumberFormat="0" applyFill="0" applyBorder="0" applyAlignment="0" applyProtection="0"/>
    <xf numFmtId="170" fontId="189" fillId="0" borderId="0" applyNumberFormat="0" applyFill="0" applyBorder="0" applyAlignment="0" applyProtection="0"/>
    <xf numFmtId="170" fontId="135" fillId="48" borderId="0"/>
    <xf numFmtId="170" fontId="135" fillId="48" borderId="0"/>
    <xf numFmtId="170" fontId="106" fillId="48" borderId="0"/>
    <xf numFmtId="170" fontId="190" fillId="96" borderId="0">
      <alignment horizontal="centerContinuous" vertical="center"/>
    </xf>
    <xf numFmtId="170" fontId="190" fillId="96" borderId="0">
      <alignment horizontal="centerContinuous" vertical="center"/>
    </xf>
    <xf numFmtId="170" fontId="191" fillId="96" borderId="0">
      <alignment horizontal="centerContinuous" vertical="center"/>
    </xf>
    <xf numFmtId="170" fontId="110" fillId="0" borderId="38"/>
    <xf numFmtId="170" fontId="110" fillId="0" borderId="38"/>
    <xf numFmtId="170" fontId="111" fillId="0" borderId="38"/>
    <xf numFmtId="170" fontId="49" fillId="48" borderId="23" applyNumberFormat="0" applyAlignment="0" applyProtection="0"/>
    <xf numFmtId="170" fontId="49" fillId="48" borderId="23" applyNumberFormat="0" applyAlignment="0" applyProtection="0"/>
    <xf numFmtId="170" fontId="50" fillId="48" borderId="23" applyNumberFormat="0" applyAlignment="0" applyProtection="0"/>
    <xf numFmtId="170" fontId="192" fillId="0" borderId="0" applyNumberFormat="0" applyFill="0" applyBorder="0" applyAlignment="0">
      <alignment horizontal="center"/>
    </xf>
    <xf numFmtId="170" fontId="192" fillId="0" borderId="0" applyNumberFormat="0" applyFill="0" applyBorder="0" applyAlignment="0">
      <alignment horizontal="center"/>
    </xf>
    <xf numFmtId="170" fontId="61" fillId="38" borderId="0" applyNumberFormat="0" applyBorder="0" applyAlignment="0" applyProtection="0"/>
    <xf numFmtId="170" fontId="61" fillId="38" borderId="0" applyNumberFormat="0" applyBorder="0" applyAlignment="0" applyProtection="0"/>
    <xf numFmtId="170" fontId="61" fillId="38" borderId="0" applyNumberFormat="0" applyBorder="0" applyAlignment="0" applyProtection="0"/>
    <xf numFmtId="170" fontId="147" fillId="0" borderId="0"/>
    <xf numFmtId="209" fontId="26" fillId="0" borderId="0">
      <alignment horizontal="center"/>
    </xf>
    <xf numFmtId="209" fontId="26" fillId="0" borderId="0">
      <alignment horizontal="center"/>
    </xf>
    <xf numFmtId="209" fontId="26" fillId="0" borderId="0">
      <alignment horizontal="center"/>
    </xf>
    <xf numFmtId="209" fontId="26" fillId="0" borderId="0">
      <alignment horizontal="center"/>
    </xf>
    <xf numFmtId="209" fontId="26" fillId="0" borderId="0">
      <alignment horizontal="center"/>
    </xf>
    <xf numFmtId="170" fontId="149" fillId="0" borderId="0" applyFont="0" applyFill="0" applyBorder="0" applyAlignment="0" applyProtection="0">
      <alignment vertical="center"/>
    </xf>
    <xf numFmtId="170" fontId="149" fillId="0" borderId="0" applyFont="0" applyFill="0" applyBorder="0" applyAlignment="0" applyProtection="0">
      <alignment vertical="center"/>
    </xf>
    <xf numFmtId="170" fontId="149" fillId="0" borderId="0" applyFont="0" applyFill="0" applyBorder="0" applyAlignment="0" applyProtection="0">
      <alignment vertical="center"/>
    </xf>
    <xf numFmtId="166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70" fontId="149" fillId="0" borderId="0" applyFont="0" applyFill="0" applyBorder="0" applyAlignment="0" applyProtection="0">
      <alignment vertical="center"/>
    </xf>
    <xf numFmtId="170" fontId="149" fillId="0" borderId="0" applyFont="0" applyFill="0" applyBorder="0" applyAlignment="0" applyProtection="0">
      <alignment vertical="center"/>
    </xf>
    <xf numFmtId="170" fontId="149" fillId="0" borderId="0" applyFont="0" applyFill="0" applyBorder="0" applyAlignment="0" applyProtection="0">
      <alignment vertical="center"/>
    </xf>
    <xf numFmtId="166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70" fontId="138" fillId="0" borderId="0"/>
    <xf numFmtId="170" fontId="138" fillId="0" borderId="0"/>
    <xf numFmtId="170" fontId="139" fillId="0" borderId="0"/>
    <xf numFmtId="40" fontId="193" fillId="0" borderId="0" applyBorder="0">
      <alignment horizontal="right"/>
    </xf>
    <xf numFmtId="170" fontId="194" fillId="0" borderId="25" applyNumberFormat="0" applyFill="0" applyAlignment="0" applyProtection="0"/>
    <xf numFmtId="170" fontId="194" fillId="0" borderId="25" applyNumberFormat="0" applyFill="0" applyAlignment="0" applyProtection="0"/>
    <xf numFmtId="170" fontId="194" fillId="0" borderId="25" applyNumberFormat="0" applyFill="0" applyAlignment="0" applyProtection="0"/>
    <xf numFmtId="170" fontId="97" fillId="0" borderId="25" applyNumberFormat="0" applyFill="0" applyAlignment="0" applyProtection="0"/>
    <xf numFmtId="170" fontId="97" fillId="0" borderId="25" applyNumberFormat="0" applyFill="0" applyAlignment="0" applyProtection="0"/>
    <xf numFmtId="170" fontId="32" fillId="0" borderId="25" applyNumberFormat="0" applyFill="0" applyAlignment="0" applyProtection="0"/>
    <xf numFmtId="170" fontId="55" fillId="48" borderId="24" applyNumberFormat="0" applyAlignment="0" applyProtection="0"/>
    <xf numFmtId="170" fontId="55" fillId="48" borderId="24" applyNumberFormat="0" applyAlignment="0" applyProtection="0"/>
    <xf numFmtId="170" fontId="195" fillId="79" borderId="0" applyNumberFormat="0" applyBorder="0" applyAlignment="0" applyProtection="0"/>
    <xf numFmtId="170" fontId="195" fillId="79" borderId="0" applyNumberFormat="0" applyBorder="0" applyAlignment="0" applyProtection="0"/>
    <xf numFmtId="170" fontId="196" fillId="79" borderId="0" applyNumberFormat="0" applyBorder="0" applyAlignment="0" applyProtection="0"/>
    <xf numFmtId="170" fontId="197" fillId="0" borderId="0" applyNumberFormat="0" applyFill="0" applyBorder="0" applyAlignment="0" applyProtection="0"/>
    <xf numFmtId="170" fontId="197" fillId="0" borderId="0" applyNumberFormat="0" applyFill="0" applyBorder="0" applyAlignment="0" applyProtection="0"/>
    <xf numFmtId="170" fontId="197" fillId="0" borderId="0" applyNumberFormat="0" applyFill="0" applyBorder="0" applyAlignment="0" applyProtection="0"/>
    <xf numFmtId="170" fontId="198" fillId="0" borderId="0" applyNumberFormat="0" applyFill="0" applyBorder="0" applyAlignment="0" applyProtection="0"/>
    <xf numFmtId="170" fontId="198" fillId="0" borderId="0" applyNumberFormat="0" applyFill="0" applyBorder="0" applyAlignment="0" applyProtection="0"/>
    <xf numFmtId="170" fontId="198" fillId="0" borderId="0" applyNumberFormat="0" applyFill="0" applyBorder="0" applyAlignment="0" applyProtection="0"/>
    <xf numFmtId="49" fontId="91" fillId="0" borderId="0" applyFill="0" applyBorder="0" applyAlignment="0"/>
    <xf numFmtId="213" fontId="26" fillId="0" borderId="0" applyFill="0" applyBorder="0" applyAlignment="0"/>
    <xf numFmtId="213" fontId="26" fillId="0" borderId="0" applyFill="0" applyBorder="0" applyAlignment="0"/>
    <xf numFmtId="213" fontId="26" fillId="0" borderId="0" applyFill="0" applyBorder="0" applyAlignment="0"/>
    <xf numFmtId="213" fontId="26" fillId="0" borderId="0" applyFill="0" applyBorder="0" applyAlignment="0"/>
    <xf numFmtId="213" fontId="26" fillId="0" borderId="0" applyFill="0" applyBorder="0" applyAlignment="0"/>
    <xf numFmtId="213" fontId="26" fillId="0" borderId="0" applyFill="0" applyBorder="0" applyAlignment="0"/>
    <xf numFmtId="213" fontId="26" fillId="0" borderId="0" applyFill="0" applyBorder="0" applyAlignment="0"/>
    <xf numFmtId="213" fontId="26" fillId="0" borderId="0" applyFill="0" applyBorder="0" applyAlignment="0"/>
    <xf numFmtId="213" fontId="26" fillId="0" borderId="0" applyFill="0" applyBorder="0" applyAlignment="0"/>
    <xf numFmtId="213" fontId="26" fillId="0" borderId="0" applyFill="0" applyBorder="0" applyAlignment="0"/>
    <xf numFmtId="170" fontId="52" fillId="0" borderId="0" applyNumberFormat="0" applyFill="0" applyBorder="0" applyAlignment="0" applyProtection="0"/>
    <xf numFmtId="170" fontId="52" fillId="0" borderId="0" applyNumberFormat="0" applyFill="0" applyBorder="0" applyAlignment="0" applyProtection="0"/>
    <xf numFmtId="170" fontId="52" fillId="0" borderId="0" applyNumberFormat="0" applyFill="0" applyBorder="0" applyAlignment="0" applyProtection="0"/>
    <xf numFmtId="170" fontId="101" fillId="0" borderId="0" applyNumberFormat="0" applyFill="0" applyBorder="0" applyAlignment="0" applyProtection="0"/>
    <xf numFmtId="170" fontId="101" fillId="0" borderId="0" applyNumberFormat="0" applyFill="0" applyBorder="0" applyAlignment="0" applyProtection="0"/>
    <xf numFmtId="170" fontId="102" fillId="0" borderId="0" applyNumberFormat="0" applyFill="0" applyBorder="0" applyAlignment="0" applyProtection="0"/>
    <xf numFmtId="170" fontId="199" fillId="0" borderId="0" applyNumberFormat="0" applyFill="0" applyBorder="0" applyAlignment="0" applyProtection="0"/>
    <xf numFmtId="170" fontId="199" fillId="0" borderId="0" applyNumberFormat="0" applyFill="0" applyBorder="0" applyAlignment="0" applyProtection="0"/>
    <xf numFmtId="170" fontId="174" fillId="0" borderId="0" applyNumberFormat="0" applyFill="0" applyBorder="0" applyAlignment="0" applyProtection="0"/>
    <xf numFmtId="170" fontId="174" fillId="0" borderId="0" applyNumberFormat="0" applyFill="0" applyBorder="0" applyAlignment="0" applyProtection="0"/>
    <xf numFmtId="170" fontId="175" fillId="0" borderId="28" applyNumberFormat="0" applyFill="0" applyAlignment="0" applyProtection="0"/>
    <xf numFmtId="170" fontId="175" fillId="0" borderId="28" applyNumberFormat="0" applyFill="0" applyAlignment="0" applyProtection="0"/>
    <xf numFmtId="170" fontId="71" fillId="0" borderId="28" applyNumberFormat="0" applyFill="0" applyAlignment="0" applyProtection="0"/>
    <xf numFmtId="170" fontId="176" fillId="0" borderId="29" applyNumberFormat="0" applyFill="0" applyAlignment="0" applyProtection="0"/>
    <xf numFmtId="170" fontId="176" fillId="0" borderId="29" applyNumberFormat="0" applyFill="0" applyAlignment="0" applyProtection="0"/>
    <xf numFmtId="170" fontId="72" fillId="0" borderId="29" applyNumberFormat="0" applyFill="0" applyAlignment="0" applyProtection="0"/>
    <xf numFmtId="170" fontId="177" fillId="0" borderId="30" applyNumberFormat="0" applyFill="0" applyAlignment="0" applyProtection="0"/>
    <xf numFmtId="170" fontId="177" fillId="0" borderId="30" applyNumberFormat="0" applyFill="0" applyAlignment="0" applyProtection="0"/>
    <xf numFmtId="170" fontId="73" fillId="0" borderId="30" applyNumberFormat="0" applyFill="0" applyAlignment="0" applyProtection="0"/>
    <xf numFmtId="170" fontId="177" fillId="0" borderId="0" applyNumberFormat="0" applyFill="0" applyBorder="0" applyAlignment="0" applyProtection="0"/>
    <xf numFmtId="170" fontId="177" fillId="0" borderId="0" applyNumberFormat="0" applyFill="0" applyBorder="0" applyAlignment="0" applyProtection="0"/>
    <xf numFmtId="170" fontId="73" fillId="0" borderId="0" applyNumberFormat="0" applyFill="0" applyBorder="0" applyAlignment="0" applyProtection="0"/>
    <xf numFmtId="170" fontId="70" fillId="0" borderId="0" applyNumberFormat="0" applyFill="0" applyBorder="0" applyAlignment="0" applyProtection="0"/>
    <xf numFmtId="170" fontId="200" fillId="0" borderId="39" applyNumberFormat="0" applyFill="0" applyAlignment="0" applyProtection="0"/>
    <xf numFmtId="170" fontId="200" fillId="0" borderId="39" applyNumberFormat="0" applyFill="0" applyAlignment="0" applyProtection="0"/>
    <xf numFmtId="40" fontId="147" fillId="0" borderId="0" applyFont="0" applyFill="0" applyBorder="0" applyAlignment="0" applyProtection="0"/>
    <xf numFmtId="214" fontId="26" fillId="0" borderId="0" applyFont="0" applyFill="0" applyBorder="0" applyAlignment="0" applyProtection="0"/>
    <xf numFmtId="170" fontId="70" fillId="0" borderId="0" applyNumberFormat="0" applyFill="0" applyBorder="0" applyAlignment="0" applyProtection="0"/>
    <xf numFmtId="170" fontId="70" fillId="0" borderId="0" applyNumberFormat="0" applyFill="0" applyBorder="0" applyAlignment="0" applyProtection="0"/>
    <xf numFmtId="170" fontId="70" fillId="0" borderId="0" applyNumberFormat="0" applyFill="0" applyBorder="0" applyAlignment="0" applyProtection="0"/>
    <xf numFmtId="3" fontId="201" fillId="0" borderId="0"/>
    <xf numFmtId="170" fontId="174" fillId="0" borderId="0" applyNumberFormat="0" applyFill="0" applyBorder="0" applyAlignment="0" applyProtection="0"/>
    <xf numFmtId="170" fontId="175" fillId="0" borderId="28" applyNumberFormat="0" applyFill="0" applyAlignment="0" applyProtection="0"/>
    <xf numFmtId="170" fontId="175" fillId="0" borderId="28" applyNumberFormat="0" applyFill="0" applyAlignment="0" applyProtection="0"/>
    <xf numFmtId="170" fontId="175" fillId="0" borderId="28" applyNumberFormat="0" applyFill="0" applyAlignment="0" applyProtection="0"/>
    <xf numFmtId="170" fontId="71" fillId="0" borderId="28" applyNumberFormat="0" applyFill="0" applyAlignment="0" applyProtection="0"/>
    <xf numFmtId="170" fontId="174" fillId="0" borderId="0" applyNumberFormat="0" applyFill="0" applyBorder="0" applyAlignment="0" applyProtection="0"/>
    <xf numFmtId="170" fontId="174" fillId="0" borderId="0" applyNumberFormat="0" applyFill="0" applyBorder="0" applyAlignment="0" applyProtection="0"/>
    <xf numFmtId="170" fontId="174" fillId="0" borderId="0" applyNumberFormat="0" applyFill="0" applyBorder="0" applyAlignment="0" applyProtection="0"/>
    <xf numFmtId="170" fontId="176" fillId="0" borderId="29" applyNumberFormat="0" applyFill="0" applyAlignment="0" applyProtection="0"/>
    <xf numFmtId="170" fontId="176" fillId="0" borderId="29" applyNumberFormat="0" applyFill="0" applyAlignment="0" applyProtection="0"/>
    <xf numFmtId="170" fontId="176" fillId="0" borderId="29" applyNumberFormat="0" applyFill="0" applyAlignment="0" applyProtection="0"/>
    <xf numFmtId="170" fontId="72" fillId="0" borderId="29" applyNumberFormat="0" applyFill="0" applyAlignment="0" applyProtection="0"/>
    <xf numFmtId="170" fontId="177" fillId="0" borderId="30" applyNumberFormat="0" applyFill="0" applyAlignment="0" applyProtection="0"/>
    <xf numFmtId="170" fontId="177" fillId="0" borderId="30" applyNumberFormat="0" applyFill="0" applyAlignment="0" applyProtection="0"/>
    <xf numFmtId="170" fontId="177" fillId="0" borderId="30" applyNumberFormat="0" applyFill="0" applyAlignment="0" applyProtection="0"/>
    <xf numFmtId="170" fontId="73" fillId="0" borderId="30" applyNumberFormat="0" applyFill="0" applyAlignment="0" applyProtection="0"/>
    <xf numFmtId="170" fontId="177" fillId="0" borderId="0" applyNumberFormat="0" applyFill="0" applyBorder="0" applyAlignment="0" applyProtection="0"/>
    <xf numFmtId="170" fontId="177" fillId="0" borderId="0" applyNumberFormat="0" applyFill="0" applyBorder="0" applyAlignment="0" applyProtection="0"/>
    <xf numFmtId="170" fontId="177" fillId="0" borderId="0" applyNumberFormat="0" applyFill="0" applyBorder="0" applyAlignment="0" applyProtection="0"/>
    <xf numFmtId="170" fontId="73" fillId="0" borderId="0" applyNumberFormat="0" applyFill="0" applyBorder="0" applyAlignment="0" applyProtection="0"/>
    <xf numFmtId="170" fontId="174" fillId="0" borderId="0" applyNumberFormat="0" applyFill="0" applyBorder="0" applyAlignment="0" applyProtection="0"/>
    <xf numFmtId="170" fontId="174" fillId="0" borderId="0" applyNumberFormat="0" applyFill="0" applyBorder="0" applyAlignment="0" applyProtection="0"/>
    <xf numFmtId="170" fontId="174" fillId="0" borderId="0" applyNumberFormat="0" applyFill="0" applyBorder="0" applyAlignment="0" applyProtection="0"/>
    <xf numFmtId="170" fontId="174" fillId="0" borderId="0" applyNumberFormat="0" applyFill="0" applyBorder="0" applyAlignment="0" applyProtection="0"/>
    <xf numFmtId="170" fontId="174" fillId="0" borderId="0" applyNumberFormat="0" applyFill="0" applyBorder="0" applyAlignment="0" applyProtection="0"/>
    <xf numFmtId="170" fontId="70" fillId="0" borderId="0" applyNumberFormat="0" applyFill="0" applyBorder="0" applyAlignment="0" applyProtection="0"/>
    <xf numFmtId="215" fontId="202" fillId="0" borderId="0"/>
    <xf numFmtId="216" fontId="202" fillId="88" borderId="0"/>
    <xf numFmtId="215" fontId="92" fillId="88" borderId="15"/>
    <xf numFmtId="215" fontId="92" fillId="0" borderId="20"/>
    <xf numFmtId="215" fontId="92" fillId="0" borderId="15"/>
    <xf numFmtId="170" fontId="149" fillId="0" borderId="0"/>
    <xf numFmtId="170" fontId="149" fillId="0" borderId="0"/>
    <xf numFmtId="170" fontId="149" fillId="0" borderId="0"/>
    <xf numFmtId="37" fontId="65" fillId="97" borderId="0" applyNumberFormat="0" applyBorder="0" applyAlignment="0" applyProtection="0"/>
    <xf numFmtId="37" fontId="79" fillId="0" borderId="0"/>
    <xf numFmtId="37" fontId="79" fillId="0" borderId="0"/>
    <xf numFmtId="37" fontId="79" fillId="0" borderId="0"/>
    <xf numFmtId="37" fontId="79" fillId="97" borderId="0" applyNumberFormat="0" applyBorder="0" applyAlignment="0" applyProtection="0"/>
    <xf numFmtId="3" fontId="203" fillId="0" borderId="33" applyProtection="0"/>
    <xf numFmtId="170" fontId="204" fillId="0" borderId="0">
      <alignment vertical="top"/>
    </xf>
    <xf numFmtId="170" fontId="204" fillId="0" borderId="0">
      <alignment vertical="top"/>
    </xf>
    <xf numFmtId="170" fontId="205" fillId="0" borderId="0">
      <alignment vertical="top"/>
    </xf>
    <xf numFmtId="170" fontId="49" fillId="48" borderId="23" applyNumberFormat="0" applyAlignment="0" applyProtection="0"/>
    <xf numFmtId="170" fontId="49" fillId="48" borderId="23" applyNumberFormat="0" applyAlignment="0" applyProtection="0"/>
    <xf numFmtId="170" fontId="50" fillId="48" borderId="23" applyNumberFormat="0" applyAlignment="0" applyProtection="0"/>
    <xf numFmtId="170" fontId="30" fillId="43" borderId="22" applyNumberFormat="0" applyFont="0" applyAlignment="0" applyProtection="0"/>
    <xf numFmtId="170" fontId="30" fillId="43" borderId="22" applyNumberFormat="0" applyFont="0" applyAlignment="0" applyProtection="0"/>
    <xf numFmtId="170" fontId="30" fillId="43" borderId="22" applyNumberFormat="0" applyFont="0" applyAlignment="0" applyProtection="0"/>
    <xf numFmtId="207" fontId="26" fillId="0" borderId="0" applyFont="0" applyFill="0" applyBorder="0" applyAlignment="0" applyProtection="0"/>
    <xf numFmtId="208" fontId="26" fillId="0" borderId="0" applyFont="0" applyFill="0" applyBorder="0" applyAlignment="0" applyProtection="0"/>
    <xf numFmtId="170" fontId="51" fillId="0" borderId="0" applyNumberFormat="0" applyFill="0" applyBorder="0" applyAlignment="0" applyProtection="0"/>
    <xf numFmtId="170" fontId="51" fillId="0" borderId="0" applyNumberFormat="0" applyFill="0" applyBorder="0" applyAlignment="0" applyProtection="0"/>
    <xf numFmtId="170" fontId="52" fillId="0" borderId="0" applyNumberFormat="0" applyFill="0" applyBorder="0" applyAlignment="0" applyProtection="0"/>
    <xf numFmtId="170" fontId="134" fillId="77" borderId="27" applyNumberFormat="0" applyAlignment="0" applyProtection="0"/>
    <xf numFmtId="170" fontId="134" fillId="77" borderId="27" applyNumberFormat="0" applyAlignment="0" applyProtection="0"/>
    <xf numFmtId="170" fontId="96" fillId="77" borderId="27" applyNumberFormat="0" applyAlignment="0" applyProtection="0"/>
    <xf numFmtId="170" fontId="66" fillId="0" borderId="26" applyNumberFormat="0" applyFill="0" applyAlignment="0" applyProtection="0"/>
    <xf numFmtId="170" fontId="66" fillId="0" borderId="26" applyNumberFormat="0" applyFill="0" applyAlignment="0" applyProtection="0"/>
    <xf numFmtId="170" fontId="66" fillId="0" borderId="26" applyNumberFormat="0" applyFill="0" applyAlignment="0" applyProtection="0"/>
    <xf numFmtId="170" fontId="67" fillId="0" borderId="26" applyNumberFormat="0" applyFill="0" applyAlignment="0" applyProtection="0"/>
    <xf numFmtId="170" fontId="56" fillId="41" borderId="24" applyNumberFormat="0" applyAlignment="0" applyProtection="0"/>
    <xf numFmtId="170" fontId="56" fillId="41" borderId="24" applyNumberFormat="0" applyAlignment="0" applyProtection="0"/>
    <xf numFmtId="170" fontId="56" fillId="41" borderId="24" applyNumberFormat="0" applyAlignment="0" applyProtection="0"/>
    <xf numFmtId="170" fontId="55" fillId="48" borderId="24" applyNumberFormat="0" applyAlignment="0" applyProtection="0"/>
    <xf numFmtId="170" fontId="55" fillId="48" borderId="24" applyNumberFormat="0" applyAlignment="0" applyProtection="0"/>
    <xf numFmtId="170" fontId="55" fillId="48" borderId="24" applyNumberFormat="0" applyAlignment="0" applyProtection="0"/>
    <xf numFmtId="170" fontId="50" fillId="48" borderId="23" applyNumberFormat="0" applyAlignment="0" applyProtection="0"/>
    <xf numFmtId="170" fontId="50" fillId="48" borderId="23" applyNumberFormat="0" applyAlignment="0" applyProtection="0"/>
    <xf numFmtId="170" fontId="50" fillId="48" borderId="23" applyNumberFormat="0" applyAlignment="0" applyProtection="0"/>
    <xf numFmtId="170" fontId="102" fillId="0" borderId="0" applyNumberFormat="0" applyFill="0" applyBorder="0" applyAlignment="0" applyProtection="0"/>
    <xf numFmtId="170" fontId="102" fillId="0" borderId="0" applyNumberFormat="0" applyFill="0" applyBorder="0" applyAlignment="0" applyProtection="0"/>
    <xf numFmtId="170" fontId="102" fillId="0" borderId="0" applyNumberFormat="0" applyFill="0" applyBorder="0" applyAlignment="0" applyProtection="0"/>
    <xf numFmtId="217" fontId="26" fillId="0" borderId="0" applyFont="0" applyFill="0" applyBorder="0" applyAlignment="0" applyProtection="0"/>
    <xf numFmtId="218" fontId="26" fillId="0" borderId="0" applyFont="0" applyFill="0" applyBorder="0" applyAlignment="0" applyProtection="0"/>
    <xf numFmtId="170" fontId="51" fillId="0" borderId="0" applyNumberFormat="0" applyFill="0" applyBorder="0" applyAlignment="0" applyProtection="0"/>
    <xf numFmtId="170" fontId="51" fillId="0" borderId="0" applyNumberFormat="0" applyFill="0" applyBorder="0" applyAlignment="0" applyProtection="0"/>
    <xf numFmtId="170" fontId="51" fillId="0" borderId="0" applyNumberFormat="0" applyFill="0" applyBorder="0" applyAlignment="0" applyProtection="0"/>
    <xf numFmtId="170" fontId="52" fillId="0" borderId="0" applyNumberFormat="0" applyFill="0" applyBorder="0" applyAlignment="0" applyProtection="0"/>
    <xf numFmtId="170" fontId="206" fillId="0" borderId="0" applyNumberFormat="0" applyFill="0" applyBorder="0" applyAlignment="0" applyProtection="0"/>
    <xf numFmtId="170" fontId="206" fillId="0" borderId="0" applyNumberFormat="0" applyFill="0" applyBorder="0" applyAlignment="0" applyProtection="0"/>
    <xf numFmtId="170" fontId="26" fillId="98" borderId="0" applyNumberFormat="0" applyFont="0" applyBorder="0" applyAlignment="0" applyProtection="0"/>
    <xf numFmtId="170" fontId="26" fillId="98" borderId="0" applyNumberFormat="0" applyFont="0" applyBorder="0" applyAlignment="0" applyProtection="0"/>
    <xf numFmtId="170" fontId="26" fillId="98" borderId="0" applyNumberFormat="0" applyFont="0" applyBorder="0" applyAlignment="0" applyProtection="0"/>
    <xf numFmtId="170" fontId="26" fillId="98" borderId="0" applyNumberFormat="0" applyFont="0" applyBorder="0" applyAlignment="0" applyProtection="0"/>
    <xf numFmtId="170" fontId="26" fillId="98" borderId="0" applyNumberFormat="0" applyFont="0" applyBorder="0" applyAlignment="0" applyProtection="0"/>
    <xf numFmtId="170" fontId="26" fillId="98" borderId="0" applyNumberFormat="0" applyFont="0" applyBorder="0" applyAlignment="0" applyProtection="0"/>
    <xf numFmtId="170" fontId="26" fillId="98" borderId="0" applyNumberFormat="0" applyFont="0" applyBorder="0" applyAlignment="0" applyProtection="0"/>
    <xf numFmtId="170" fontId="26" fillId="98" borderId="0" applyNumberFormat="0" applyFont="0" applyBorder="0" applyAlignment="0" applyProtection="0"/>
    <xf numFmtId="170" fontId="26" fillId="46" borderId="0" applyNumberFormat="0" applyFont="0" applyBorder="0" applyAlignment="0" applyProtection="0"/>
    <xf numFmtId="170" fontId="26" fillId="46" borderId="0" applyNumberFormat="0" applyFont="0" applyBorder="0" applyAlignment="0" applyProtection="0"/>
    <xf numFmtId="170" fontId="26" fillId="46" borderId="0" applyNumberFormat="0" applyFont="0" applyBorder="0" applyAlignment="0" applyProtection="0"/>
    <xf numFmtId="170" fontId="26" fillId="46" borderId="0" applyNumberFormat="0" applyFont="0" applyBorder="0" applyAlignment="0" applyProtection="0"/>
    <xf numFmtId="170" fontId="26" fillId="46" borderId="0" applyNumberFormat="0" applyFont="0" applyBorder="0" applyAlignment="0" applyProtection="0"/>
    <xf numFmtId="170" fontId="26" fillId="46" borderId="0" applyNumberFormat="0" applyFont="0" applyBorder="0" applyAlignment="0" applyProtection="0"/>
    <xf numFmtId="170" fontId="26" fillId="46" borderId="0" applyNumberFormat="0" applyFont="0" applyBorder="0" applyAlignment="0" applyProtection="0"/>
    <xf numFmtId="170" fontId="26" fillId="46" borderId="0" applyNumberFormat="0" applyFont="0" applyBorder="0" applyAlignment="0" applyProtection="0"/>
    <xf numFmtId="170" fontId="26" fillId="53" borderId="0" applyNumberFormat="0" applyFont="0" applyBorder="0" applyAlignment="0" applyProtection="0"/>
    <xf numFmtId="170" fontId="26" fillId="53" borderId="0" applyNumberFormat="0" applyFont="0" applyBorder="0" applyAlignment="0" applyProtection="0"/>
    <xf numFmtId="170" fontId="26" fillId="53" borderId="0" applyNumberFormat="0" applyFont="0" applyBorder="0" applyAlignment="0" applyProtection="0"/>
    <xf numFmtId="170" fontId="26" fillId="53" borderId="0" applyNumberFormat="0" applyFont="0" applyBorder="0" applyAlignment="0" applyProtection="0"/>
    <xf numFmtId="170" fontId="26" fillId="53" borderId="0" applyNumberFormat="0" applyFont="0" applyBorder="0" applyAlignment="0" applyProtection="0"/>
    <xf numFmtId="170" fontId="26" fillId="53" borderId="0" applyNumberFormat="0" applyFont="0" applyBorder="0" applyAlignment="0" applyProtection="0"/>
    <xf numFmtId="170" fontId="26" fillId="53" borderId="0" applyNumberFormat="0" applyFont="0" applyBorder="0" applyAlignment="0" applyProtection="0"/>
    <xf numFmtId="170" fontId="26" fillId="53" borderId="0" applyNumberFormat="0" applyFont="0" applyBorder="0" applyAlignment="0" applyProtection="0"/>
    <xf numFmtId="170" fontId="26" fillId="59" borderId="0" applyNumberFormat="0" applyFont="0" applyBorder="0" applyAlignment="0" applyProtection="0"/>
    <xf numFmtId="170" fontId="26" fillId="59" borderId="0" applyNumberFormat="0" applyFont="0" applyBorder="0" applyAlignment="0" applyProtection="0"/>
    <xf numFmtId="170" fontId="26" fillId="59" borderId="0" applyNumberFormat="0" applyFont="0" applyBorder="0" applyAlignment="0" applyProtection="0"/>
    <xf numFmtId="170" fontId="26" fillId="59" borderId="0" applyNumberFormat="0" applyFont="0" applyBorder="0" applyAlignment="0" applyProtection="0"/>
    <xf numFmtId="170" fontId="26" fillId="59" borderId="0" applyNumberFormat="0" applyFont="0" applyBorder="0" applyAlignment="0" applyProtection="0"/>
    <xf numFmtId="170" fontId="26" fillId="59" borderId="0" applyNumberFormat="0" applyFont="0" applyBorder="0" applyAlignment="0" applyProtection="0"/>
    <xf numFmtId="170" fontId="26" fillId="59" borderId="0" applyNumberFormat="0" applyFont="0" applyBorder="0" applyAlignment="0" applyProtection="0"/>
    <xf numFmtId="170" fontId="26" fillId="59" borderId="0" applyNumberFormat="0" applyFont="0" applyBorder="0" applyAlignment="0" applyProtection="0"/>
    <xf numFmtId="170" fontId="26" fillId="99" borderId="0" applyNumberFormat="0" applyFont="0" applyBorder="0" applyAlignment="0" applyProtection="0"/>
    <xf numFmtId="170" fontId="26" fillId="99" borderId="0" applyNumberFormat="0" applyFont="0" applyBorder="0" applyAlignment="0" applyProtection="0"/>
    <xf numFmtId="170" fontId="26" fillId="99" borderId="0" applyNumberFormat="0" applyFont="0" applyBorder="0" applyAlignment="0" applyProtection="0"/>
    <xf numFmtId="170" fontId="26" fillId="99" borderId="0" applyNumberFormat="0" applyFont="0" applyBorder="0" applyAlignment="0" applyProtection="0"/>
    <xf numFmtId="170" fontId="26" fillId="99" borderId="0" applyNumberFormat="0" applyFont="0" applyBorder="0" applyAlignment="0" applyProtection="0"/>
    <xf numFmtId="170" fontId="26" fillId="99" borderId="0" applyNumberFormat="0" applyFont="0" applyBorder="0" applyAlignment="0" applyProtection="0"/>
    <xf numFmtId="170" fontId="26" fillId="99" borderId="0" applyNumberFormat="0" applyFont="0" applyBorder="0" applyAlignment="0" applyProtection="0"/>
    <xf numFmtId="170" fontId="26" fillId="99" borderId="0" applyNumberFormat="0" applyFont="0" applyBorder="0" applyAlignment="0" applyProtection="0"/>
    <xf numFmtId="170" fontId="134" fillId="77" borderId="27" applyNumberFormat="0" applyAlignment="0" applyProtection="0"/>
    <xf numFmtId="170" fontId="134" fillId="77" borderId="27" applyNumberFormat="0" applyAlignment="0" applyProtection="0"/>
    <xf numFmtId="170" fontId="134" fillId="77" borderId="27" applyNumberFormat="0" applyAlignment="0" applyProtection="0"/>
    <xf numFmtId="170" fontId="96" fillId="77" borderId="27" applyNumberFormat="0" applyAlignment="0" applyProtection="0"/>
    <xf numFmtId="219" fontId="207" fillId="0" borderId="1" applyBorder="0"/>
    <xf numFmtId="170" fontId="208" fillId="37" borderId="0" applyNumberFormat="0" applyBorder="0" applyAlignment="0" applyProtection="0"/>
    <xf numFmtId="170" fontId="208" fillId="37" borderId="0" applyNumberFormat="0" applyBorder="0" applyAlignment="0" applyProtection="0"/>
    <xf numFmtId="170" fontId="208" fillId="37" borderId="0" applyNumberFormat="0" applyBorder="0" applyAlignment="0" applyProtection="0"/>
    <xf numFmtId="170" fontId="44" fillId="75" borderId="0" applyNumberFormat="0" applyBorder="0" applyAlignment="0" applyProtection="0"/>
    <xf numFmtId="170" fontId="44" fillId="75" borderId="0" applyNumberFormat="0" applyBorder="0" applyAlignment="0" applyProtection="0"/>
    <xf numFmtId="170" fontId="44" fillId="75" borderId="0" applyNumberFormat="0" applyBorder="0" applyAlignment="0" applyProtection="0"/>
    <xf numFmtId="170" fontId="44" fillId="59" borderId="0" applyNumberFormat="0" applyBorder="0" applyAlignment="0" applyProtection="0"/>
    <xf numFmtId="170" fontId="44" fillId="59" borderId="0" applyNumberFormat="0" applyBorder="0" applyAlignment="0" applyProtection="0"/>
    <xf numFmtId="170" fontId="44" fillId="59" borderId="0" applyNumberFormat="0" applyBorder="0" applyAlignment="0" applyProtection="0"/>
    <xf numFmtId="170" fontId="44" fillId="64" borderId="0" applyNumberFormat="0" applyBorder="0" applyAlignment="0" applyProtection="0"/>
    <xf numFmtId="170" fontId="44" fillId="64" borderId="0" applyNumberFormat="0" applyBorder="0" applyAlignment="0" applyProtection="0"/>
    <xf numFmtId="170" fontId="44" fillId="64" borderId="0" applyNumberFormat="0" applyBorder="0" applyAlignment="0" applyProtection="0"/>
    <xf numFmtId="170" fontId="44" fillId="51" borderId="0" applyNumberFormat="0" applyBorder="0" applyAlignment="0" applyProtection="0"/>
    <xf numFmtId="170" fontId="44" fillId="51" borderId="0" applyNumberFormat="0" applyBorder="0" applyAlignment="0" applyProtection="0"/>
    <xf numFmtId="170" fontId="44" fillId="51" borderId="0" applyNumberFormat="0" applyBorder="0" applyAlignment="0" applyProtection="0"/>
    <xf numFmtId="170" fontId="44" fillId="52" borderId="0" applyNumberFormat="0" applyBorder="0" applyAlignment="0" applyProtection="0"/>
    <xf numFmtId="170" fontId="44" fillId="52" borderId="0" applyNumberFormat="0" applyBorder="0" applyAlignment="0" applyProtection="0"/>
    <xf numFmtId="170" fontId="44" fillId="52" borderId="0" applyNumberFormat="0" applyBorder="0" applyAlignment="0" applyProtection="0"/>
    <xf numFmtId="170" fontId="44" fillId="71" borderId="0" applyNumberFormat="0" applyBorder="0" applyAlignment="0" applyProtection="0"/>
    <xf numFmtId="170" fontId="44" fillId="71" borderId="0" applyNumberFormat="0" applyBorder="0" applyAlignment="0" applyProtection="0"/>
    <xf numFmtId="170" fontId="44" fillId="71" borderId="0" applyNumberFormat="0" applyBorder="0" applyAlignment="0" applyProtection="0"/>
    <xf numFmtId="170" fontId="26" fillId="0" borderId="0"/>
    <xf numFmtId="170" fontId="35" fillId="0" borderId="0"/>
    <xf numFmtId="166" fontId="26" fillId="0" borderId="0" applyFont="0" applyFill="0" applyBorder="0" applyAlignment="0" applyProtection="0"/>
    <xf numFmtId="170" fontId="26" fillId="0" borderId="0" applyAlignment="0"/>
    <xf numFmtId="170" fontId="26" fillId="0" borderId="0" applyAlignment="0"/>
    <xf numFmtId="170" fontId="26" fillId="0" borderId="0" applyAlignment="0"/>
    <xf numFmtId="170" fontId="26" fillId="0" borderId="0" applyAlignment="0"/>
    <xf numFmtId="170" fontId="26" fillId="0" borderId="0" applyAlignment="0"/>
    <xf numFmtId="170" fontId="26" fillId="0" borderId="0" applyAlignment="0"/>
    <xf numFmtId="170" fontId="26" fillId="0" borderId="0" applyAlignment="0"/>
    <xf numFmtId="170" fontId="26" fillId="0" borderId="0" applyAlignment="0"/>
    <xf numFmtId="170" fontId="26" fillId="0" borderId="0" applyAlignment="0"/>
    <xf numFmtId="168" fontId="26" fillId="0" borderId="0" applyFont="0" applyFill="0" applyBorder="0" applyAlignment="0" applyProtection="0"/>
    <xf numFmtId="168" fontId="26" fillId="0" borderId="0" applyFont="0" applyFill="0" applyBorder="0" applyAlignment="0" applyProtection="0"/>
    <xf numFmtId="168" fontId="26" fillId="0" borderId="0" applyFont="0" applyFill="0" applyBorder="0" applyAlignment="0" applyProtection="0"/>
    <xf numFmtId="168" fontId="26" fillId="0" borderId="0" applyFont="0" applyFill="0" applyBorder="0" applyAlignment="0" applyProtection="0"/>
    <xf numFmtId="168" fontId="26" fillId="0" borderId="0" applyFont="0" applyFill="0" applyBorder="0" applyAlignment="0" applyProtection="0"/>
    <xf numFmtId="168" fontId="26" fillId="0" borderId="0" applyFont="0" applyFill="0" applyBorder="0" applyAlignment="0" applyProtection="0"/>
    <xf numFmtId="0" fontId="5" fillId="0" borderId="0"/>
    <xf numFmtId="0" fontId="5" fillId="8" borderId="13" applyNumberFormat="0" applyFont="0" applyAlignment="0" applyProtection="0"/>
    <xf numFmtId="168" fontId="26" fillId="0" borderId="0" applyFont="0" applyFill="0" applyBorder="0" applyAlignment="0" applyProtection="0"/>
    <xf numFmtId="0" fontId="33" fillId="0" borderId="0"/>
    <xf numFmtId="0" fontId="26" fillId="0" borderId="0"/>
    <xf numFmtId="168" fontId="26" fillId="0" borderId="0" applyFont="0" applyFill="0" applyBorder="0" applyAlignment="0" applyProtection="0"/>
    <xf numFmtId="0" fontId="26" fillId="0" borderId="0"/>
    <xf numFmtId="168" fontId="26" fillId="0" borderId="0" applyFont="0" applyFill="0" applyBorder="0" applyAlignment="0" applyProtection="0"/>
    <xf numFmtId="168" fontId="26" fillId="0" borderId="0" applyFont="0" applyFill="0" applyBorder="0" applyAlignment="0" applyProtection="0"/>
    <xf numFmtId="168" fontId="26" fillId="0" borderId="0" applyFont="0" applyFill="0" applyBorder="0" applyAlignment="0" applyProtection="0"/>
    <xf numFmtId="0" fontId="5" fillId="0" borderId="0"/>
    <xf numFmtId="0" fontId="5" fillId="8" borderId="13" applyNumberFormat="0" applyFont="0" applyAlignment="0" applyProtection="0"/>
    <xf numFmtId="168" fontId="26" fillId="0" borderId="0" applyFont="0" applyFill="0" applyBorder="0" applyAlignment="0" applyProtection="0"/>
    <xf numFmtId="0" fontId="26" fillId="0" borderId="0"/>
    <xf numFmtId="168" fontId="26" fillId="0" borderId="0" applyFont="0" applyFill="0" applyBorder="0" applyAlignment="0" applyProtection="0"/>
    <xf numFmtId="0" fontId="26" fillId="0" borderId="0"/>
    <xf numFmtId="168" fontId="26" fillId="0" borderId="0" applyFont="0" applyFill="0" applyBorder="0" applyAlignment="0" applyProtection="0"/>
    <xf numFmtId="0" fontId="26" fillId="0" borderId="0"/>
    <xf numFmtId="168" fontId="26" fillId="0" borderId="0" applyFont="0" applyFill="0" applyBorder="0" applyAlignment="0" applyProtection="0"/>
    <xf numFmtId="0" fontId="26" fillId="0" borderId="0"/>
    <xf numFmtId="168" fontId="26" fillId="0" borderId="0" applyFont="0" applyFill="0" applyBorder="0" applyAlignment="0" applyProtection="0"/>
    <xf numFmtId="168" fontId="26" fillId="0" borderId="0" applyFont="0" applyFill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0" borderId="0"/>
    <xf numFmtId="0" fontId="5" fillId="8" borderId="13" applyNumberFormat="0" applyFont="0" applyAlignment="0" applyProtection="0"/>
    <xf numFmtId="0" fontId="5" fillId="10" borderId="0" applyNumberFormat="0" applyBorder="0" applyAlignment="0" applyProtection="0"/>
    <xf numFmtId="168" fontId="26" fillId="0" borderId="0" applyFont="0" applyFill="0" applyBorder="0" applyAlignment="0" applyProtection="0"/>
    <xf numFmtId="0" fontId="5" fillId="16" borderId="0" applyNumberFormat="0" applyBorder="0" applyAlignment="0" applyProtection="0"/>
    <xf numFmtId="0" fontId="5" fillId="10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1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10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16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0" borderId="0"/>
    <xf numFmtId="0" fontId="5" fillId="8" borderId="13" applyNumberFormat="0" applyFont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15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12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11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12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11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4" fillId="0" borderId="0"/>
    <xf numFmtId="9" fontId="4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4" fillId="0" borderId="0"/>
    <xf numFmtId="0" fontId="4" fillId="0" borderId="0"/>
    <xf numFmtId="165" fontId="28" fillId="0" borderId="0" applyFont="0" applyFill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9" fontId="209" fillId="0" borderId="0" applyBorder="0" applyProtection="0"/>
    <xf numFmtId="0" fontId="4" fillId="0" borderId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209" fillId="0" borderId="0"/>
    <xf numFmtId="9" fontId="209" fillId="0" borderId="0" applyBorder="0" applyProtection="0"/>
    <xf numFmtId="0" fontId="4" fillId="0" borderId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4" fillId="0" borderId="0"/>
    <xf numFmtId="165" fontId="28" fillId="0" borderId="0" applyFont="0" applyFill="0" applyBorder="0" applyAlignment="0" applyProtection="0"/>
    <xf numFmtId="0" fontId="28" fillId="0" borderId="0"/>
    <xf numFmtId="0" fontId="47" fillId="103" borderId="0" applyNumberFormat="0" applyBorder="0" applyAlignment="0" applyProtection="0"/>
    <xf numFmtId="0" fontId="47" fillId="104" borderId="0" applyNumberFormat="0" applyBorder="0" applyAlignment="0" applyProtection="0"/>
    <xf numFmtId="0" fontId="47" fillId="105" borderId="0" applyNumberFormat="0" applyBorder="0" applyAlignment="0" applyProtection="0"/>
    <xf numFmtId="0" fontId="47" fillId="101" borderId="0" applyNumberFormat="0" applyBorder="0" applyAlignment="0" applyProtection="0"/>
    <xf numFmtId="0" fontId="47" fillId="102" borderId="0" applyNumberFormat="0" applyBorder="0" applyAlignment="0" applyProtection="0"/>
    <xf numFmtId="0" fontId="47" fillId="106" borderId="0" applyNumberFormat="0" applyBorder="0" applyAlignment="0" applyProtection="0"/>
    <xf numFmtId="0" fontId="83" fillId="100" borderId="24" applyNumberFormat="0" applyAlignment="0" applyProtection="0"/>
    <xf numFmtId="0" fontId="84" fillId="107" borderId="23" applyNumberFormat="0" applyAlignment="0" applyProtection="0"/>
    <xf numFmtId="220" fontId="28" fillId="0" borderId="0" applyFill="0" applyBorder="0" applyAlignment="0" applyProtection="0"/>
    <xf numFmtId="0" fontId="132" fillId="0" borderId="26" applyNumberFormat="0" applyFill="0" applyAlignment="0" applyProtection="0"/>
    <xf numFmtId="0" fontId="133" fillId="108" borderId="27" applyNumberFormat="0" applyAlignment="0" applyProtection="0"/>
    <xf numFmtId="0" fontId="141" fillId="0" borderId="28" applyNumberFormat="0" applyFill="0" applyAlignment="0" applyProtection="0"/>
    <xf numFmtId="0" fontId="142" fillId="0" borderId="29" applyNumberFormat="0" applyFill="0" applyAlignment="0" applyProtection="0"/>
    <xf numFmtId="0" fontId="143" fillId="0" borderId="30" applyNumberFormat="0" applyFill="0" applyAlignment="0" applyProtection="0"/>
    <xf numFmtId="0" fontId="143" fillId="0" borderId="0" applyNumberFormat="0" applyFill="0" applyBorder="0" applyAlignment="0" applyProtection="0"/>
    <xf numFmtId="0" fontId="152" fillId="107" borderId="24" applyNumberFormat="0" applyAlignment="0" applyProtection="0"/>
    <xf numFmtId="0" fontId="194" fillId="0" borderId="25" applyNumberFormat="0" applyFill="0" applyAlignment="0" applyProtection="0"/>
    <xf numFmtId="0" fontId="197" fillId="0" borderId="0" applyNumberFormat="0" applyFill="0" applyBorder="0" applyAlignment="0" applyProtection="0"/>
    <xf numFmtId="0" fontId="198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28" fillId="109" borderId="22" applyNumberFormat="0" applyAlignment="0" applyProtection="0"/>
    <xf numFmtId="0" fontId="4" fillId="0" borderId="0"/>
    <xf numFmtId="165" fontId="28" fillId="0" borderId="0" applyFont="0" applyFill="0" applyBorder="0" applyAlignment="0" applyProtection="0"/>
    <xf numFmtId="0" fontId="83" fillId="100" borderId="24" applyNumberFormat="0" applyAlignment="0" applyProtection="0"/>
    <xf numFmtId="0" fontId="84" fillId="107" borderId="23" applyNumberFormat="0" applyAlignment="0" applyProtection="0"/>
    <xf numFmtId="0" fontId="152" fillId="107" borderId="24" applyNumberFormat="0" applyAlignment="0" applyProtection="0"/>
    <xf numFmtId="0" fontId="194" fillId="0" borderId="25" applyNumberFormat="0" applyFill="0" applyAlignment="0" applyProtection="0"/>
    <xf numFmtId="0" fontId="28" fillId="109" borderId="22" applyNumberFormat="0" applyAlignment="0" applyProtection="0"/>
    <xf numFmtId="0" fontId="4" fillId="0" borderId="0"/>
    <xf numFmtId="165" fontId="28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5" fontId="28" fillId="0" borderId="0" applyFont="0" applyFill="0" applyBorder="0" applyAlignment="0" applyProtection="0"/>
    <xf numFmtId="0" fontId="4" fillId="8" borderId="13" applyNumberFormat="0" applyFont="0" applyAlignment="0" applyProtection="0"/>
    <xf numFmtId="0" fontId="4" fillId="0" borderId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4" fillId="0" borderId="0"/>
    <xf numFmtId="165" fontId="28" fillId="0" borderId="0" applyFont="0" applyFill="0" applyBorder="0" applyAlignment="0" applyProtection="0"/>
    <xf numFmtId="0" fontId="4" fillId="0" borderId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4" fillId="0" borderId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4" fillId="0" borderId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8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4" fillId="0" borderId="0"/>
    <xf numFmtId="0" fontId="4" fillId="24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9" fontId="4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4" fillId="28" borderId="0" applyNumberFormat="0" applyBorder="0" applyAlignment="0" applyProtection="0"/>
    <xf numFmtId="0" fontId="4" fillId="23" borderId="0" applyNumberFormat="0" applyBorder="0" applyAlignment="0" applyProtection="0"/>
    <xf numFmtId="0" fontId="4" fillId="20" borderId="0" applyNumberFormat="0" applyBorder="0" applyAlignment="0" applyProtection="0"/>
    <xf numFmtId="0" fontId="4" fillId="18" borderId="0" applyNumberFormat="0" applyBorder="0" applyAlignment="0" applyProtection="0"/>
    <xf numFmtId="0" fontId="4" fillId="16" borderId="0" applyNumberFormat="0" applyBorder="0" applyAlignment="0" applyProtection="0"/>
    <xf numFmtId="0" fontId="4" fillId="15" borderId="0" applyNumberFormat="0" applyBorder="0" applyAlignment="0" applyProtection="0"/>
    <xf numFmtId="0" fontId="4" fillId="32" borderId="0" applyNumberFormat="0" applyBorder="0" applyAlignment="0" applyProtection="0"/>
    <xf numFmtId="0" fontId="6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30" borderId="0" applyNumberFormat="0" applyBorder="0" applyAlignment="0" applyProtection="0"/>
    <xf numFmtId="0" fontId="4" fillId="12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3" fillId="0" borderId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3" fillId="0" borderId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3" fillId="0" borderId="0"/>
    <xf numFmtId="0" fontId="3" fillId="0" borderId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3" fillId="0" borderId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3" fillId="0" borderId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3" fillId="0" borderId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165" fontId="28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8" borderId="13" applyNumberFormat="0" applyFont="0" applyAlignment="0" applyProtection="0"/>
    <xf numFmtId="0" fontId="26" fillId="0" borderId="0"/>
    <xf numFmtId="0" fontId="26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1" fillId="0" borderId="0"/>
    <xf numFmtId="0" fontId="1" fillId="0" borderId="0"/>
    <xf numFmtId="165" fontId="28" fillId="0" borderId="0" applyFont="0" applyFill="0" applyBorder="0" applyAlignment="0" applyProtection="0"/>
    <xf numFmtId="0" fontId="1" fillId="0" borderId="0"/>
    <xf numFmtId="0" fontId="1" fillId="0" borderId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1" fillId="0" borderId="0"/>
    <xf numFmtId="165" fontId="28" fillId="0" borderId="0" applyFont="0" applyFill="0" applyBorder="0" applyAlignment="0" applyProtection="0"/>
    <xf numFmtId="0" fontId="1" fillId="0" borderId="0"/>
    <xf numFmtId="165" fontId="28" fillId="0" borderId="0" applyFont="0" applyFill="0" applyBorder="0" applyAlignment="0" applyProtection="0"/>
    <xf numFmtId="0" fontId="1" fillId="0" borderId="0"/>
    <xf numFmtId="165" fontId="28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28" fillId="0" borderId="0" applyFont="0" applyFill="0" applyBorder="0" applyAlignment="0" applyProtection="0"/>
    <xf numFmtId="0" fontId="1" fillId="8" borderId="13" applyNumberFormat="0" applyFont="0" applyAlignment="0" applyProtection="0"/>
    <xf numFmtId="0" fontId="1" fillId="0" borderId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1" fillId="0" borderId="0"/>
    <xf numFmtId="165" fontId="28" fillId="0" borderId="0" applyFont="0" applyFill="0" applyBorder="0" applyAlignment="0" applyProtection="0"/>
    <xf numFmtId="0" fontId="1" fillId="0" borderId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1" fillId="0" borderId="0"/>
    <xf numFmtId="0" fontId="1" fillId="0" borderId="0"/>
  </cellStyleXfs>
  <cellXfs count="6">
    <xf numFmtId="0" fontId="0" fillId="0" borderId="0" xfId="0"/>
    <xf numFmtId="0" fontId="7" fillId="0" borderId="0" xfId="0" applyFont="1" applyAlignment="1">
      <alignment horizontal="center" vertical="top" wrapText="1"/>
    </xf>
    <xf numFmtId="14" fontId="0" fillId="0" borderId="0" xfId="0" applyNumberFormat="1"/>
    <xf numFmtId="0" fontId="0" fillId="0" borderId="0" xfId="0" applyNumberFormat="1"/>
    <xf numFmtId="14" fontId="7" fillId="0" borderId="0" xfId="0" applyNumberFormat="1" applyFont="1" applyAlignment="1">
      <alignment horizontal="center" vertical="top" wrapText="1"/>
    </xf>
    <xf numFmtId="14" fontId="0" fillId="0" borderId="0" xfId="0" applyNumberFormat="1"/>
  </cellXfs>
  <cellStyles count="2422">
    <cellStyle name="'!vrs" xfId="56" xr:uid="{FCA47FCE-9C51-4869-BA72-436B4ADFF1E1}"/>
    <cellStyle name="'!vrs 2" xfId="57" xr:uid="{3C48B3E0-266A-45DA-843A-DFA0FC198B84}"/>
    <cellStyle name="'!vrs 2 2" xfId="58" xr:uid="{B8EB2773-B697-4D51-9626-47CE8A316ADA}"/>
    <cellStyle name="'!vrs 3" xfId="59" xr:uid="{A268DA1E-85A3-4573-8833-13AA96C06516}"/>
    <cellStyle name="%" xfId="60" xr:uid="{2681A7BF-DBEB-4973-8990-5AB630C36CF5}"/>
    <cellStyle name="% 2" xfId="61" xr:uid="{6E447571-FB1C-49C8-948D-F989E67A9C50}"/>
    <cellStyle name="% 2 2" xfId="62" xr:uid="{0DC9BDC5-9190-4BAD-9586-3460D8EAD4D3}"/>
    <cellStyle name="% 2 2 2" xfId="63" xr:uid="{2A200E35-5B04-4976-8985-6F061E5B1F6E}"/>
    <cellStyle name="% 2 3" xfId="64" xr:uid="{B25788BA-DC3A-4261-B08F-1FB06134648B}"/>
    <cellStyle name="% 2_R1+ R2" xfId="65" xr:uid="{B3FB066B-2D56-4BA9-87E1-962D4CBC6548}"/>
    <cellStyle name="% 3" xfId="66" xr:uid="{9D1B167B-0985-4948-A35F-206D4C1AE1AA}"/>
    <cellStyle name="% 3 2" xfId="67" xr:uid="{2367E8B8-920F-4F65-B432-5D4C88DA66A9}"/>
    <cellStyle name="% 4" xfId="68" xr:uid="{1D12C7A1-2D12-445D-AFF1-B7D04C20CE1F}"/>
    <cellStyle name="%_FAGOR" xfId="69" xr:uid="{925B90A8-C47C-4472-A450-1DBEB3ED22E7}"/>
    <cellStyle name="%_FAGOR 2" xfId="70" xr:uid="{1E07A0BB-CBDC-4196-9156-11831594D783}"/>
    <cellStyle name="%_FAGOR 2 2" xfId="71" xr:uid="{8AEA9384-E3FA-4ECC-99F9-B2EEC68D272D}"/>
    <cellStyle name="%_FAGOR 2_FAGOR" xfId="72" xr:uid="{27423C31-FCC7-40F2-ACC4-8629E5C71623}"/>
    <cellStyle name="%_FAGOR 2_FAGOR 2" xfId="73" xr:uid="{BF6D6A77-30FC-4B3D-924E-7D44D70A005E}"/>
    <cellStyle name="%_FAGOR 2_FAGOR_R1+ R2" xfId="74" xr:uid="{931B23A5-513B-4C31-B20B-326E66C3AE9A}"/>
    <cellStyle name="%_FAGOR 2_FAGOR_R1+ R2 2" xfId="75" xr:uid="{EB6B181D-E3C4-4684-BC26-2C688FF4D41A}"/>
    <cellStyle name="%_FAGOR 2_R1+ R2" xfId="76" xr:uid="{0083EDBD-7F38-4AD4-990D-EC9FC9E11050}"/>
    <cellStyle name="%_FAGOR 2_R1+ R2 2" xfId="77" xr:uid="{9D1BE928-9BFF-4967-9F5C-8DC36F9BCE7C}"/>
    <cellStyle name="%_FAGOR 3" xfId="78" xr:uid="{0FFA40FA-4064-467A-8BAB-86D82CB01B36}"/>
    <cellStyle name="%_FAGOR_R1+ R2" xfId="79" xr:uid="{5A5F01BD-B868-4296-9BC5-07E18180BBB4}"/>
    <cellStyle name="%_FAGOR_R1+ R2 2" xfId="80" xr:uid="{A9BB7861-5EF9-4E14-87BE-C5F757BF4383}"/>
    <cellStyle name="%_R1+ R2" xfId="81" xr:uid="{56804B16-81F8-45FA-81FF-04115A80F594}"/>
    <cellStyle name="%_R1+ R2 2" xfId="82" xr:uid="{4D6650CC-B532-4104-A217-4C6CB7F4D1FE}"/>
    <cellStyle name="?? [0]_??" xfId="83" xr:uid="{7B59A1EE-0B7F-4F4B-BF65-AC325599E30A}"/>
    <cellStyle name="???????????????????????????????????????????????????????????????????????????????????????????????????????????????????????????????????????????" xfId="84" xr:uid="{9610FCE8-2454-4234-A983-E189CD806E2E}"/>
    <cellStyle name="??????????????????????????????????????????????????????????????????????????????????????????????????????????????????????????????????????????? 2" xfId="85" xr:uid="{0E27E9B2-A81D-4458-911B-92F6EB543426}"/>
    <cellStyle name="??????????????????????????????????????????????????????????????????????????????????????????????????????????????????????????????????????????? 2 2" xfId="86" xr:uid="{5ABC496E-EA86-4967-A3F4-6FD48414D06B}"/>
    <cellStyle name="??????????????????????????????????????????????????????????????????????????????????????????????????????????????????????????????????????????? 2 2 2" xfId="87" xr:uid="{BD79D0F7-A070-4151-80D3-CEA72239CB62}"/>
    <cellStyle name="??????????????????????????????????????????????????????????????????????????????????????????????????????????????????????????????????????????? 2 3" xfId="88" xr:uid="{B10F780A-B135-4FAF-852E-A24F65D30642}"/>
    <cellStyle name="??????????????????????????????????????????????????????????????????????????????????????????????????????????????????????????????????????????? 2_R1+ R2" xfId="89" xr:uid="{055214A8-176F-4B94-B9F6-C813065FF884}"/>
    <cellStyle name="??????????????????????????????????????????????????????????????????????????????????????????????????????????????????????????????????????????? 3" xfId="90" xr:uid="{C247A2A5-FC42-471E-BB78-28DB611E2A54}"/>
    <cellStyle name="??????????????????????????????????????????????????????????????????????????????????????????????????????????????????????????????????????????? 3 2" xfId="91" xr:uid="{FD2EED27-E327-4E5A-97C9-AC09F5C17768}"/>
    <cellStyle name="??????????????????????????????????????????????????????????????????????????????????????????????????????????????????????????????????????????? 4" xfId="92" xr:uid="{D7831ECC-7D74-42B6-B036-C162C1378579}"/>
    <cellStyle name="???????????????????????????????????????????????????????????????????????????????????????????????????????????????????????????????????????????_FAGOR" xfId="93" xr:uid="{AACC1C3B-14AA-45F9-98A9-450D86ABF2CC}"/>
    <cellStyle name="??????????_????1" xfId="94" xr:uid="{7737DCE2-5F5F-4EA7-AAB9-A0CC77B66B87}"/>
    <cellStyle name="???????_bp 2008 revised template from corporate (3) 24.10.07_Cost ????" xfId="95" xr:uid="{043F8C78-F0E7-475E-896C-C40CA74D4469}"/>
    <cellStyle name="??????_?????1" xfId="96" xr:uid="{88B24CE8-972A-4810-BBC9-30B485A559AA}"/>
    <cellStyle name="?????_VERA" xfId="97" xr:uid="{6AE62B83-E97D-423B-BCAC-AAFF7DB2F591}"/>
    <cellStyle name="??_?.????" xfId="98" xr:uid="{D4CFA696-E8F2-4B47-A7C3-0EAD9175FD3E}"/>
    <cellStyle name="?…‹??‚? [0.00]_!!!GO" xfId="99" xr:uid="{C24554B6-BBFE-484F-B146-4DC2D9BB0F27}"/>
    <cellStyle name="?…‹??‚?_!!!GO" xfId="100" xr:uid="{F999B741-6305-4514-99B3-90A7A37B1E76}"/>
    <cellStyle name="_Additions to Product code_Master Structure" xfId="101" xr:uid="{E5F3E458-3CF9-4B49-96E0-C4A802778B67}"/>
    <cellStyle name="_Additions to Product code_Master Structure 2" xfId="102" xr:uid="{4C2FBA86-FD19-474F-B34A-B423B1A758A8}"/>
    <cellStyle name="_Additions to Product code_Master Structure 2_FAGOR" xfId="103" xr:uid="{E5D5C33B-1F9F-43BA-824D-3D5C0F132314}"/>
    <cellStyle name="_Additions to Product code_Master Structure 2_FAGOR_R1+ R2" xfId="104" xr:uid="{3DD61070-C1AB-4ACE-94FF-D3A5A786C96E}"/>
    <cellStyle name="_Additions to Product code_Master Structure 2_R1+ R2" xfId="105" xr:uid="{55048D69-5FA7-40FF-AEC6-205F63FA1783}"/>
    <cellStyle name="_Additions to Product code_Master Structure_2 choice" xfId="106" xr:uid="{350CB5CB-8423-4656-AB7D-AB9B04187AE9}"/>
    <cellStyle name="_Additions to Product code_Master Structure_2 choice 2" xfId="107" xr:uid="{E8CD9BBA-FDBA-4A07-8E60-55E441B40F67}"/>
    <cellStyle name="_Additions to Product code_Master Structure_2 choice 2_FAGOR" xfId="108" xr:uid="{65D34E0A-6261-4519-8E32-FC8E50D5CE2F}"/>
    <cellStyle name="_Additions to Product code_Master Structure_2 choice 2_FAGOR_R1+ R2" xfId="109" xr:uid="{913576DB-D87C-4059-8479-2C5D581883EA}"/>
    <cellStyle name="_Additions to Product code_Master Structure_2 choice 2_R1+ R2" xfId="110" xr:uid="{08783478-D5FF-4147-B1A8-54CB9D42FAA5}"/>
    <cellStyle name="_Additions to Product code_Master Structure_2 choice_R1+ R2" xfId="111" xr:uid="{0CD34D6D-B0D5-4B93-8C96-C8C8414C224B}"/>
    <cellStyle name="_Additions to Product code_Master Structure_Flat" xfId="112" xr:uid="{2304B7FA-4F0B-4B94-9992-87F35C23B574}"/>
    <cellStyle name="_Additions to Product code_Master Structure_Flat 2" xfId="113" xr:uid="{29E4B8D7-2960-41E8-AD4D-4365FB36658C}"/>
    <cellStyle name="_Additions to Product code_Master Structure_Flat 2_FAGOR" xfId="114" xr:uid="{0388CB4F-2111-4826-BDDF-8CED9C2BC75F}"/>
    <cellStyle name="_Additions to Product code_Master Structure_Flat 2_FAGOR_R1+ R2" xfId="115" xr:uid="{C0931C35-5EA3-4045-8F3B-F560B0E9B49E}"/>
    <cellStyle name="_Additions to Product code_Master Structure_Flat 2_R1+ R2" xfId="116" xr:uid="{AC500990-0D15-459B-9F41-B2781C13556A}"/>
    <cellStyle name="_Additions to Product code_Master Structure_Flat_R1+ R2" xfId="117" xr:uid="{B5BBF195-387D-4830-BA59-5D145F4211A5}"/>
    <cellStyle name="_Additions to Product code_Master Structure_Long" xfId="118" xr:uid="{C3951FF1-6078-4686-BA6D-B69D79D145BD}"/>
    <cellStyle name="_Additions to Product code_Master Structure_Long 2" xfId="119" xr:uid="{6A9BC24B-11F4-40E9-BF40-8059AFE63D59}"/>
    <cellStyle name="_Additions to Product code_Master Structure_Long 2_FAGOR" xfId="120" xr:uid="{98FBA983-396C-4313-8519-6D7DA7ADF806}"/>
    <cellStyle name="_Additions to Product code_Master Structure_Long 2_FAGOR_R1+ R2" xfId="121" xr:uid="{6097D925-A699-48F2-BBB0-6A526FD74D23}"/>
    <cellStyle name="_Additions to Product code_Master Structure_Long 2_R1+ R2" xfId="122" xr:uid="{D002CCD0-F2B0-4987-A776-A955232B00B4}"/>
    <cellStyle name="_Additions to Product code_Master Structure_Long_R1+ R2" xfId="123" xr:uid="{361A3A1E-8458-4DB7-9E20-6B5AF0B69666}"/>
    <cellStyle name="_Additions to Product code_Master Structure_R1+ R2" xfId="124" xr:uid="{6CC78620-B88E-4E3D-A1FC-343FF228783B}"/>
    <cellStyle name="_HR data request budget 2010" xfId="125" xr:uid="{AF2E646A-4A63-4C02-881D-750BF3C001A5}"/>
    <cellStyle name="_HR data request budget 2010 2" xfId="126" xr:uid="{65FB8BAE-2F7D-4629-999E-896955A16CA7}"/>
    <cellStyle name="_HR data request budget 2010 2 2" xfId="127" xr:uid="{6F2CF7A2-DD6E-4F10-AFDB-AFBB9F6F3A40}"/>
    <cellStyle name="_HR data request budget 2010 2 2 2" xfId="128" xr:uid="{47FF5227-D830-4C96-961E-4AAECC25DD5E}"/>
    <cellStyle name="_HR data request budget 2010 2 2_FAGOR" xfId="129" xr:uid="{D25129E8-94E0-45E4-82F2-F7EFC4E95797}"/>
    <cellStyle name="_HR data request budget 2010 2 2_FAGOR 2" xfId="130" xr:uid="{DFBFF098-18EB-40FA-A9DC-F04D09774069}"/>
    <cellStyle name="_HR data request budget 2010 2 2_FAGOR_R1+ R2" xfId="131" xr:uid="{CAAA588E-250A-4626-B0D5-C2D44FD11E1C}"/>
    <cellStyle name="_HR data request budget 2010 2 2_FAGOR_R1+ R2 2" xfId="132" xr:uid="{6C65BC27-66ED-4247-A517-ACD5FFCF93A9}"/>
    <cellStyle name="_HR data request budget 2010 2 2_R1+ R2" xfId="133" xr:uid="{93DD152B-295A-4DFA-AD5D-D1630461F372}"/>
    <cellStyle name="_HR data request budget 2010 2 2_R1+ R2 2" xfId="134" xr:uid="{6CF7147B-9EB5-4333-B4F6-F3915471D492}"/>
    <cellStyle name="_HR data request budget 2010 2 3" xfId="135" xr:uid="{2DC232EC-834C-4862-97EE-57A29D6EDE8E}"/>
    <cellStyle name="_HR data request budget 2010 2_R1+ R2" xfId="136" xr:uid="{1E12FE16-C4F8-4B78-9984-C60663F6D022}"/>
    <cellStyle name="_HR data request budget 2010 2_R1+ R2 2" xfId="137" xr:uid="{D7A51298-17FA-4F4A-98D0-4A55B2DB7F2E}"/>
    <cellStyle name="_HR data request budget 2010 3" xfId="138" xr:uid="{BAAB5526-6D31-4CE5-AD51-07FA648DBD92}"/>
    <cellStyle name="_HR data request budget 2010 3 2" xfId="139" xr:uid="{55E2728D-2D98-40F4-B375-D7D8997B9D8D}"/>
    <cellStyle name="_HR data request budget 2010 3_FAGOR" xfId="140" xr:uid="{86443146-C0A6-4B66-A560-F08CE07938A7}"/>
    <cellStyle name="_HR data request budget 2010 3_FAGOR 2" xfId="141" xr:uid="{82BADA7D-B230-48CB-8704-2E4FAE400AC5}"/>
    <cellStyle name="_HR data request budget 2010 3_FAGOR_R1+ R2" xfId="142" xr:uid="{29285B2D-466B-48E7-8205-AE10260CF6BF}"/>
    <cellStyle name="_HR data request budget 2010 3_FAGOR_R1+ R2 2" xfId="143" xr:uid="{E5E88837-E600-4880-98F4-5E61B4EB8D52}"/>
    <cellStyle name="_HR data request budget 2010 3_R1+ R2" xfId="144" xr:uid="{BCC5A1BB-A79B-4CC2-890C-C01C0C2856DB}"/>
    <cellStyle name="_HR data request budget 2010 3_R1+ R2 2" xfId="145" xr:uid="{06AE1D2A-6D2C-4B0F-83A1-2F642ABEA100}"/>
    <cellStyle name="_HR data request budget 2010 4" xfId="146" xr:uid="{E8E126C9-4E37-483C-B154-19C2F77E0A9A}"/>
    <cellStyle name="_HR data request budget 2010_FAGOR" xfId="147" xr:uid="{56D4B113-8F94-4175-8AF0-F8028454CC5D}"/>
    <cellStyle name="_HR data request budget 2010_FAGOR 2" xfId="148" xr:uid="{9706E59C-63DB-4729-9E74-029E45E5FF94}"/>
    <cellStyle name="_HR data request budget 2010_FAGOR 2 2" xfId="149" xr:uid="{B9843F8A-5889-4DBF-BCC1-D9FE354CBE86}"/>
    <cellStyle name="_HR data request budget 2010_FAGOR 2_FAGOR" xfId="150" xr:uid="{BBFA9A35-557F-4063-9D7E-64EC5A8E37BC}"/>
    <cellStyle name="_HR data request budget 2010_FAGOR 2_FAGOR 2" xfId="151" xr:uid="{89AFB259-0799-40E5-8229-48270A7047B0}"/>
    <cellStyle name="_HR data request budget 2010_FAGOR 2_FAGOR_R1+ R2" xfId="152" xr:uid="{A2D8C4C5-C315-425E-AC81-49AC54BECD4A}"/>
    <cellStyle name="_HR data request budget 2010_FAGOR 2_FAGOR_R1+ R2 2" xfId="153" xr:uid="{0552D41F-73EE-4B1F-BD00-29FEF7473735}"/>
    <cellStyle name="_HR data request budget 2010_FAGOR 2_R1+ R2" xfId="154" xr:uid="{49A9B384-64BD-4612-AB1C-B40DC703BD08}"/>
    <cellStyle name="_HR data request budget 2010_FAGOR 2_R1+ R2 2" xfId="155" xr:uid="{FEC4AC3D-042C-47D9-B722-F0BAF27788FC}"/>
    <cellStyle name="_HR data request budget 2010_FAGOR 3" xfId="156" xr:uid="{227FA350-EF73-4B2F-9810-C989230B13AD}"/>
    <cellStyle name="_HR data request budget 2010_FAGOR_R1+ R2" xfId="157" xr:uid="{49E18465-F339-4618-B20F-137F0A797D20}"/>
    <cellStyle name="_HR data request budget 2010_FAGOR_R1+ R2 2" xfId="158" xr:uid="{E91FE2C7-8A6B-48ED-9C26-84B28F71EF36}"/>
    <cellStyle name="_HR data request budget 2010_R1+ R2" xfId="159" xr:uid="{A425218A-1BFB-4ADB-9FEA-078D2E3C92C1}"/>
    <cellStyle name="_HR data request budget 2010_R1+ R2 2" xfId="160" xr:uid="{4EFFFD38-33B3-4EE6-B1F4-5A66376CCCF4}"/>
    <cellStyle name="_WATERFALL GRAPH" xfId="161" xr:uid="{58A86829-2B3A-4136-AEC5-97CA8824FE24}"/>
    <cellStyle name="_WATERFALL GRAPH 2" xfId="162" xr:uid="{B7C997D7-C513-4A82-922B-A92E71A7D932}"/>
    <cellStyle name="_WATERFALL GRAPH 2_FAGOR" xfId="163" xr:uid="{F4ADAB1B-FE0D-48C0-A743-2B889B7DE673}"/>
    <cellStyle name="_WATERFALL GRAPH 2_FAGOR_R1+ R2" xfId="164" xr:uid="{00F4A97F-DBCC-4F91-A5EF-8D5BF5DFEBB6}"/>
    <cellStyle name="_WATERFALL GRAPH 2_R1+ R2" xfId="165" xr:uid="{243ABBEA-4BB6-4733-90DF-C08FECC5DF45}"/>
    <cellStyle name="_WATERFALL GRAPH_FAGOR" xfId="166" xr:uid="{7EA7F126-6327-4FE0-A020-53536D699D56}"/>
    <cellStyle name="_WATERFALL GRAPH_FAGOR 2" xfId="167" xr:uid="{B72C0700-33DF-4848-BD3B-1BA835E65489}"/>
    <cellStyle name="_WATERFALL GRAPH_FAGOR 2_FAGOR" xfId="168" xr:uid="{D8D5CDB4-D156-438F-9F75-FD196C4318F4}"/>
    <cellStyle name="_WATERFALL GRAPH_FAGOR 2_FAGOR_R1+ R2" xfId="169" xr:uid="{517FDD0D-CF7B-4E73-827A-0A60FB233EB7}"/>
    <cellStyle name="_WATERFALL GRAPH_FAGOR 2_R1+ R2" xfId="170" xr:uid="{9FC271FC-0BE4-48E5-A2DC-48F6BA1F79BF}"/>
    <cellStyle name="_WATERFALL GRAPH_FAGOR_R1+ R2" xfId="171" xr:uid="{B7C8FF4D-ECD1-4706-8238-C67E5CBB3F0B}"/>
    <cellStyle name="_WATERFALL GRAPH_R1+ R2" xfId="172" xr:uid="{D1A476DB-7C50-4395-B8B4-E9919E8C3926}"/>
    <cellStyle name="`P" xfId="173" xr:uid="{85F872F5-4AB7-440C-951D-2A9F3BFE7109}"/>
    <cellStyle name="`P 2" xfId="174" xr:uid="{72C13E01-2FAB-4405-B5C2-9CFDBDB82A07}"/>
    <cellStyle name="`P 2 2" xfId="175" xr:uid="{FE5117A8-35AB-4772-859D-1C68790B8B1F}"/>
    <cellStyle name="`P 3" xfId="176" xr:uid="{FCEDC29B-2472-469C-9726-AC2FC52E9B1E}"/>
    <cellStyle name="20 % – Zvýraznění1" xfId="177" xr:uid="{5E5A8A6A-5D01-4F4E-B686-D951048BC16E}"/>
    <cellStyle name="20 % – Zvýraznění1 2" xfId="178" xr:uid="{0A596D88-A8F7-448A-A7C1-D38FFA02839A}"/>
    <cellStyle name="20 % – Zvýraznění1 2 2" xfId="179" xr:uid="{1E51176C-FCE6-433A-8D06-A38683994903}"/>
    <cellStyle name="20 % – Zvýraznění2" xfId="180" xr:uid="{2603D32D-C30F-4191-BF3C-5D903138572E}"/>
    <cellStyle name="20 % – Zvýraznění2 2" xfId="181" xr:uid="{3001D1D3-9434-4698-A54D-DA3EEE196349}"/>
    <cellStyle name="20 % – Zvýraznění2 2 2" xfId="182" xr:uid="{C988B184-AF0C-4EA1-8968-C35FE33DAD42}"/>
    <cellStyle name="20 % – Zvýraznění3" xfId="183" xr:uid="{9E1A13E9-98C0-4C36-ACB1-862AD2B38BE2}"/>
    <cellStyle name="20 % – Zvýraznění3 2" xfId="184" xr:uid="{0DF3FC4C-8521-4A3A-852F-405527ECAAD2}"/>
    <cellStyle name="20 % – Zvýraznění3 2 2" xfId="185" xr:uid="{085ECAFF-7FEA-45A1-9269-A757807A3BF1}"/>
    <cellStyle name="20 % – Zvýraznění4" xfId="186" xr:uid="{30A3168D-45A5-4DF7-9EDE-CCA5DB154800}"/>
    <cellStyle name="20 % – Zvýraznění4 2" xfId="187" xr:uid="{64C51347-3DA6-4459-87DA-900459A2AFBF}"/>
    <cellStyle name="20 % – Zvýraznění4 2 2" xfId="188" xr:uid="{44EBCD55-16A4-4F73-9D7F-399FBD93EB4D}"/>
    <cellStyle name="20 % – Zvýraznění5" xfId="189" xr:uid="{0599A39F-E53A-4126-8233-F2F6D6FC318B}"/>
    <cellStyle name="20 % – Zvýraznění5 2" xfId="190" xr:uid="{C5AC039F-EF78-4ECA-89DB-560E31ECD70A}"/>
    <cellStyle name="20 % – Zvýraznění5 2 2" xfId="191" xr:uid="{00193C98-C33A-42D1-89D0-36A7EE9BCDAC}"/>
    <cellStyle name="20 % – Zvýraznění6" xfId="192" xr:uid="{11D2EEB6-3EE1-46BA-A9CF-2DB4EBFC2FC1}"/>
    <cellStyle name="20 % – Zvýraznění6 2" xfId="193" xr:uid="{482BA5CD-DDE5-40EB-A323-28D12AC220BD}"/>
    <cellStyle name="20 % – Zvýraznění6 2 2" xfId="194" xr:uid="{54C5CCC8-B2AF-4348-ABA6-410E2AF3EB76}"/>
    <cellStyle name="20 % - Accent1" xfId="195" xr:uid="{CB23AD88-D9F6-4102-97B5-A876C5FDECBA}"/>
    <cellStyle name="20 % - Accent1 2" xfId="196" xr:uid="{DCD62799-5B69-4384-8442-6EA831F49DAA}"/>
    <cellStyle name="20 % - Accent1_FAGOR" xfId="197" xr:uid="{64F1C668-A583-4E99-82E4-A149151D31E6}"/>
    <cellStyle name="20 % - Accent2" xfId="198" xr:uid="{AE8389D4-899F-4DC5-8FD9-55EAF16BD9FA}"/>
    <cellStyle name="20 % - Accent2 2" xfId="199" xr:uid="{C09BA43B-85F2-4725-88C4-0D41796728A3}"/>
    <cellStyle name="20 % - Accent2_FAGOR" xfId="200" xr:uid="{8FB0990F-536A-4185-994C-12811467100C}"/>
    <cellStyle name="20 % - Accent3" xfId="201" xr:uid="{EEFD3D50-E711-4014-B30A-ECAAD4D96DB7}"/>
    <cellStyle name="20 % - Accent3 2" xfId="202" xr:uid="{E0F53C46-379D-4333-A02A-271F008A0679}"/>
    <cellStyle name="20 % - Accent3_FAGOR" xfId="203" xr:uid="{F5D2E49A-9AEC-458E-A028-7D645F3EF764}"/>
    <cellStyle name="20 % - Accent4" xfId="204" xr:uid="{0CFEBDF0-ED87-42DE-A09F-AFF01999DDAC}"/>
    <cellStyle name="20 % - Accent4 2" xfId="205" xr:uid="{8AB280E0-D8A9-4B67-A638-E7A16187B745}"/>
    <cellStyle name="20 % - Accent4_FAGOR" xfId="206" xr:uid="{A077F783-F4F2-41A5-B636-BC4B85F8E243}"/>
    <cellStyle name="20 % - Accent5" xfId="207" xr:uid="{48CDB3DF-A156-4088-984E-342A00266857}"/>
    <cellStyle name="20 % - Accent5 2" xfId="208" xr:uid="{D9339DB7-527F-41DE-9DDB-CDB5D625E1B6}"/>
    <cellStyle name="20 % - Accent5_FAGOR" xfId="209" xr:uid="{CE0EE947-932E-4C16-A827-CAEC35BD3752}"/>
    <cellStyle name="20 % - Accent6" xfId="210" xr:uid="{170882F4-60BF-4E13-B7B7-148106724653}"/>
    <cellStyle name="20 % - Accent6 2" xfId="211" xr:uid="{BA253D2B-47BB-4E50-B7FF-09786B59E15B}"/>
    <cellStyle name="20 % - Accent6_FAGOR" xfId="212" xr:uid="{F7AC0EBF-1ADA-4CDC-A756-2221E3959EBB}"/>
    <cellStyle name="20% - 1. jelölőszín" xfId="213" xr:uid="{B480BE66-3BBC-4D4B-BB7F-1E26A5E07BA2}"/>
    <cellStyle name="20% - 1. jelölőszín 2" xfId="214" xr:uid="{F51705A8-C71A-4709-92C1-1460D8D15593}"/>
    <cellStyle name="20% - 2. jelölőszín" xfId="215" xr:uid="{D797E1CF-5772-4945-A415-F7093DD29257}"/>
    <cellStyle name="20% - 2. jelölőszín 2" xfId="216" xr:uid="{2842D85C-1A77-48F4-B32A-44DD1E853092}"/>
    <cellStyle name="20% - 3. jelölőszín" xfId="217" xr:uid="{A788E088-A742-4B39-927E-5CE33E16D592}"/>
    <cellStyle name="20% - 3. jelölőszín 2" xfId="218" xr:uid="{6BE570D3-589E-424E-BCB6-94609259E737}"/>
    <cellStyle name="20% - 4. jelölőszín" xfId="219" xr:uid="{0CC28616-F980-4611-ABC0-9F17ADD27891}"/>
    <cellStyle name="20% - 4. jelölőszín 2" xfId="220" xr:uid="{0AEDC176-7D6F-4A27-B7C5-A09F60D10A07}"/>
    <cellStyle name="20% - 5. jelölőszín" xfId="221" xr:uid="{BEFBEAE6-1DF4-4144-8D55-E76D13220325}"/>
    <cellStyle name="20% - 5. jelölőszín 2" xfId="222" xr:uid="{B8E7A74E-B4E2-43F9-A679-582FD8981D2A}"/>
    <cellStyle name="20% - 6. jelölőszín" xfId="223" xr:uid="{033BDD9C-FAB8-4815-AEB7-1A35CFFFCE42}"/>
    <cellStyle name="20% - 6. jelölőszín 2" xfId="224" xr:uid="{8C89D1A8-8A9A-4E71-9EE5-0FF84D3F8A25}"/>
    <cellStyle name="20% - Accent1" xfId="225" xr:uid="{AF76DC69-8082-45B8-A525-DC3D63771223}"/>
    <cellStyle name="20% - Accent1 2" xfId="226" xr:uid="{7647023E-5890-4A3D-803E-C886152B6AFF}"/>
    <cellStyle name="20% - Accent2" xfId="227" xr:uid="{5D302650-B8EF-497E-8107-D7D661B18546}"/>
    <cellStyle name="20% - Accent2 2" xfId="228" xr:uid="{B1DFF64E-4DCC-4C57-BD34-1CAC22511597}"/>
    <cellStyle name="20% - Accent3" xfId="229" xr:uid="{7D120D6F-2E0A-4B6E-A5E1-4C221A319A53}"/>
    <cellStyle name="20% - Accent3 2" xfId="230" xr:uid="{4131BA81-CD6A-457A-B6B7-8556719D3189}"/>
    <cellStyle name="20% - Accent4" xfId="231" xr:uid="{7397E2A6-DD2A-44D7-A9BF-EA9B2C1DC265}"/>
    <cellStyle name="20% - Accent4 2" xfId="232" xr:uid="{8F0F1553-781D-4B7B-880F-73321C55C782}"/>
    <cellStyle name="20% - Accent5" xfId="233" xr:uid="{FA666039-E5D0-40E9-95D2-EC8F787428D6}"/>
    <cellStyle name="20% - Accent5 2" xfId="234" xr:uid="{77D2F1C9-003F-4402-9B34-4047B0A94C5E}"/>
    <cellStyle name="20% - Accent6" xfId="235" xr:uid="{DEC42A5C-F9F4-46B5-82EE-95A23DC0EF6E}"/>
    <cellStyle name="20% - Accent6 2" xfId="236" xr:uid="{A6135FDE-449F-46AD-9136-2F7FDB95ACE7}"/>
    <cellStyle name="20% — akcent 1" xfId="18" builtinId="30" customBuiltin="1"/>
    <cellStyle name="20% — akcent 1 10" xfId="2322" xr:uid="{DE9E565B-458D-49F1-B2AB-44A5B9397E5F}"/>
    <cellStyle name="20% — akcent 1 11" xfId="2375" xr:uid="{6DD57391-5AE1-424D-AFEE-8F04EAB17922}"/>
    <cellStyle name="20% - akcent 1 2" xfId="237" xr:uid="{BAA6DDD9-029F-4A9A-BE1B-B9AB61E63684}"/>
    <cellStyle name="20% — akcent 1 2" xfId="2041" xr:uid="{E361CCE2-6D88-4E97-BE25-A6F97C1C9A95}"/>
    <cellStyle name="20% - akcent 1 2 2" xfId="238" xr:uid="{77315F93-FD74-45F0-AECF-13FF9A954A77}"/>
    <cellStyle name="20% - akcent 1 3" xfId="239" xr:uid="{8F069492-C50A-44B8-8BCB-A0E02D56CD5C}"/>
    <cellStyle name="20% — akcent 1 3" xfId="2066" xr:uid="{A5E99046-7A6C-4A22-B15B-5F05C00FC1EB}"/>
    <cellStyle name="20% - akcent 1 4" xfId="240" xr:uid="{79A4611C-69BD-4BC3-AB5D-8ED6651B2334}"/>
    <cellStyle name="20% — akcent 1 4" xfId="2077" xr:uid="{89A0FE27-69B5-4A70-9B4A-D32BEC91FB43}"/>
    <cellStyle name="20% - akcent 1 5" xfId="241" xr:uid="{3C345491-D4C6-41A9-B952-A977F191A6F3}"/>
    <cellStyle name="20% — akcent 1 5" xfId="2064" xr:uid="{3018C55C-E61C-4EAD-AE91-F045686F7E2B}"/>
    <cellStyle name="20% — akcent 1 6" xfId="2061" xr:uid="{4A5FEA5C-F18F-4EAA-B797-AEAF65F8285F}"/>
    <cellStyle name="20% — akcent 1 7" xfId="2148" xr:uid="{0F4A2DF2-5C69-4B67-B47B-38465106FFB1}"/>
    <cellStyle name="20% — akcent 1 8" xfId="2242" xr:uid="{7ADB3DC0-B806-4F87-86E5-11FA5B2B18A6}"/>
    <cellStyle name="20% — akcent 1 9" xfId="2277" xr:uid="{56D4DBDE-D349-4F52-9E72-1EAFA72D4C40}"/>
    <cellStyle name="20% — akcent 2" xfId="22" builtinId="34" customBuiltin="1"/>
    <cellStyle name="20% — akcent 2 10" xfId="2325" xr:uid="{83EE4CFC-7D62-445E-A1C7-442226E161FB}"/>
    <cellStyle name="20% — akcent 2 11" xfId="2378" xr:uid="{8CC17747-6AD7-44C4-99CF-C3F45CC5217A}"/>
    <cellStyle name="20% - akcent 2 2" xfId="242" xr:uid="{549C50C6-7F43-4AE2-8157-A558F8257848}"/>
    <cellStyle name="20% — akcent 2 2" xfId="2044" xr:uid="{787710BF-8BB7-4FBB-8355-DA0B5B310EE6}"/>
    <cellStyle name="20% - akcent 2 2 2" xfId="243" xr:uid="{67858399-0D83-47C1-9D55-4960E7FB4C8B}"/>
    <cellStyle name="20% - akcent 2 3" xfId="244" xr:uid="{9B089A2D-EE2B-42BA-B342-4FBA6B8B6BEF}"/>
    <cellStyle name="20% — akcent 2 3" xfId="2070" xr:uid="{6C50FD70-BD31-43E2-A4DC-1FAEA3FD3AC3}"/>
    <cellStyle name="20% - akcent 2 4" xfId="245" xr:uid="{77309832-78CF-4EF5-8E9C-71CEB92BD29D}"/>
    <cellStyle name="20% — akcent 2 4" xfId="2090" xr:uid="{D91A1D84-FAE5-484E-8DAE-386AD354E3BF}"/>
    <cellStyle name="20% - akcent 2 5" xfId="246" xr:uid="{FB938E4A-9F57-44A8-942B-04B9D55D79BE}"/>
    <cellStyle name="20% — akcent 2 5" xfId="2093" xr:uid="{593C32A6-0154-4AA1-A297-EACEEF5F1159}"/>
    <cellStyle name="20% — akcent 2 6" xfId="2109" xr:uid="{88DEFC72-83B8-4B1F-8DDD-290BFBE34F7D}"/>
    <cellStyle name="20% — akcent 2 7" xfId="2151" xr:uid="{123E0496-BAFF-4C6D-A01C-DE9822EBC0C2}"/>
    <cellStyle name="20% — akcent 2 8" xfId="2245" xr:uid="{3089F591-DAAC-4CD4-879E-33066FC1044B}"/>
    <cellStyle name="20% — akcent 2 9" xfId="2272" xr:uid="{22CBA75F-AD18-40CF-9D2B-8F7DCB023141}"/>
    <cellStyle name="20% — akcent 3" xfId="26" builtinId="38" customBuiltin="1"/>
    <cellStyle name="20% — akcent 3 10" xfId="2328" xr:uid="{C51CF8C1-1585-4CAA-AABE-8E98C02FD9A4}"/>
    <cellStyle name="20% — akcent 3 11" xfId="2381" xr:uid="{21FB8F59-D6D6-422A-81FF-FDA3C6DBCD08}"/>
    <cellStyle name="20% - akcent 3 2" xfId="247" xr:uid="{84390D3B-1041-4B45-ACFE-50C3F5EB6A30}"/>
    <cellStyle name="20% — akcent 3 2" xfId="2047" xr:uid="{22A54446-FE9B-45A7-9C8E-CBF2236601B6}"/>
    <cellStyle name="20% - akcent 3 2 2" xfId="248" xr:uid="{B2E67638-FC24-4249-B547-79B915A25845}"/>
    <cellStyle name="20% - akcent 3 3" xfId="249" xr:uid="{F5232D7B-2893-4A26-856A-2304269E4A78}"/>
    <cellStyle name="20% — akcent 3 3" xfId="2074" xr:uid="{60A8A3AE-3554-492E-BB1B-92E0F0B34C5F}"/>
    <cellStyle name="20% - akcent 3 4" xfId="250" xr:uid="{694E89EA-149D-4E3C-972A-C9B74EC765FF}"/>
    <cellStyle name="20% — akcent 3 4" xfId="2094" xr:uid="{AF8050D7-5173-4C09-A7E4-C917D73B35AF}"/>
    <cellStyle name="20% - akcent 3 5" xfId="251" xr:uid="{630F32DC-AB12-4930-9A09-2E70491C21DD}"/>
    <cellStyle name="20% — akcent 3 5" xfId="2110" xr:uid="{84C9A18A-6795-4AC2-8405-ACA31D04CAD2}"/>
    <cellStyle name="20% — akcent 3 6" xfId="2124" xr:uid="{1F7ACF7A-3C19-4022-AC3C-33F9CA38D912}"/>
    <cellStyle name="20% — akcent 3 7" xfId="2154" xr:uid="{33FCB20C-9A47-494D-AC5D-DBF9391BFAA8}"/>
    <cellStyle name="20% — akcent 3 8" xfId="2248" xr:uid="{B5509DBC-BC81-4E64-815B-5E3F61FA1373}"/>
    <cellStyle name="20% — akcent 3 9" xfId="2265" xr:uid="{F2ECA70F-713A-439A-BB8A-158B0D01191B}"/>
    <cellStyle name="20% — akcent 4" xfId="30" builtinId="42" customBuiltin="1"/>
    <cellStyle name="20% — akcent 4 10" xfId="2331" xr:uid="{18E390A8-D3B5-4B1E-9D4B-0BDECBE5B0B5}"/>
    <cellStyle name="20% — akcent 4 11" xfId="2384" xr:uid="{00286119-45AC-41A6-8A6E-0D7FCDC92C20}"/>
    <cellStyle name="20% - akcent 4 2" xfId="252" xr:uid="{E4915669-9856-45FE-977D-499C1D121B2F}"/>
    <cellStyle name="20% — akcent 4 2" xfId="2050" xr:uid="{E5EBBA6E-B8E2-426B-9492-3CA7BD64B921}"/>
    <cellStyle name="20% - akcent 4 2 2" xfId="253" xr:uid="{32FC1120-4E10-43C8-BC5D-C2AC74502CFF}"/>
    <cellStyle name="20% - akcent 4 3" xfId="254" xr:uid="{C0C383E9-B206-4D55-8681-CDCDFB84CA0A}"/>
    <cellStyle name="20% — akcent 4 3" xfId="2078" xr:uid="{8F580C7F-496E-4015-B2DD-ED635E8BD771}"/>
    <cellStyle name="20% - akcent 4 4" xfId="255" xr:uid="{D0724DEE-86B5-42D2-9B7F-4A50A73A919D}"/>
    <cellStyle name="20% — akcent 4 4" xfId="2098" xr:uid="{A8122C08-E0AF-454B-86ED-E9FB5CB74CAB}"/>
    <cellStyle name="20% - akcent 4 5" xfId="256" xr:uid="{3C4A21C6-5D81-4578-8099-62445D6E39A8}"/>
    <cellStyle name="20% — akcent 4 5" xfId="2113" xr:uid="{A16E4A7F-450F-4791-9878-E168C33388DE}"/>
    <cellStyle name="20% — akcent 4 6" xfId="2127" xr:uid="{F23C4908-DED9-4397-981D-025BBBAC38B9}"/>
    <cellStyle name="20% — akcent 4 7" xfId="2157" xr:uid="{A9177404-8204-45F6-8328-3CFFA0A4400D}"/>
    <cellStyle name="20% — akcent 4 8" xfId="2251" xr:uid="{0DDD758E-47EB-4E59-A675-E3541B3CEB14}"/>
    <cellStyle name="20% — akcent 4 9" xfId="2271" xr:uid="{ACDA2F99-4EBA-4D74-93F0-2611FA9C14E3}"/>
    <cellStyle name="20% — akcent 5" xfId="34" builtinId="46" customBuiltin="1"/>
    <cellStyle name="20% — akcent 5 10" xfId="2334" xr:uid="{4B1AA2EC-510F-4A14-B271-F11C0BD3001C}"/>
    <cellStyle name="20% — akcent 5 11" xfId="2387" xr:uid="{5BCE038B-E8F9-4F6A-93FB-2AC111BA86F5}"/>
    <cellStyle name="20% - akcent 5 2" xfId="257" xr:uid="{476E6689-1DB0-4666-865E-E7081E58C9D6}"/>
    <cellStyle name="20% — akcent 5 2" xfId="2053" xr:uid="{D482D1CD-5E38-4486-A88B-B4D5A452477B}"/>
    <cellStyle name="20% - akcent 5 2 2" xfId="258" xr:uid="{016A842E-3278-41F5-BAFB-08DCB7925354}"/>
    <cellStyle name="20% - akcent 5 3" xfId="259" xr:uid="{FA41BF75-2D7F-450D-905C-E02319E7A914}"/>
    <cellStyle name="20% — akcent 5 3" xfId="2082" xr:uid="{A5B4829B-69DA-47F8-A2B8-851C2B2A7905}"/>
    <cellStyle name="20% - akcent 5 4" xfId="260" xr:uid="{942005DA-D9AC-4F65-A6D9-05433C415FDF}"/>
    <cellStyle name="20% — akcent 5 4" xfId="2102" xr:uid="{08D204BA-815F-4F97-8D77-EAEBAD69847E}"/>
    <cellStyle name="20% - akcent 5 5" xfId="261" xr:uid="{653831EA-C200-410E-A5F6-89EE19AD817B}"/>
    <cellStyle name="20% — akcent 5 5" xfId="2117" xr:uid="{942A9453-E64A-4B2C-8AD4-7C58CDC37709}"/>
    <cellStyle name="20% — akcent 5 6" xfId="2130" xr:uid="{2CB7D137-F0B5-4A13-9DBA-A917D3AF268C}"/>
    <cellStyle name="20% — akcent 5 7" xfId="2160" xr:uid="{F2E79AFA-6D9B-468B-BFEC-1C0CAE2DA01B}"/>
    <cellStyle name="20% — akcent 5 8" xfId="2254" xr:uid="{9F223392-8CDD-4DB1-AC50-FDF384D3DE07}"/>
    <cellStyle name="20% — akcent 5 9" xfId="2144" xr:uid="{D688B0FD-7061-4B8E-B6F0-58F935197360}"/>
    <cellStyle name="20% — akcent 6" xfId="38" builtinId="50" customBuiltin="1"/>
    <cellStyle name="20% — akcent 6 10" xfId="2337" xr:uid="{2D7F0945-A3A6-4227-8C7F-A330510A20E8}"/>
    <cellStyle name="20% — akcent 6 11" xfId="2390" xr:uid="{D994A274-24AA-4BC4-94FC-4E591B79C514}"/>
    <cellStyle name="20% - akcent 6 2" xfId="262" xr:uid="{EDF9E6A8-1D84-4314-8B38-FFF50C0CA4B1}"/>
    <cellStyle name="20% — akcent 6 2" xfId="2056" xr:uid="{12CA11A5-E5E2-438B-8498-B9B474839CE8}"/>
    <cellStyle name="20% - akcent 6 2 2" xfId="263" xr:uid="{695908BB-A24D-4471-8F0E-7629F4AD50DB}"/>
    <cellStyle name="20% - akcent 6 3" xfId="264" xr:uid="{3914470A-0F59-4B35-85D5-B2F56209745C}"/>
    <cellStyle name="20% — akcent 6 3" xfId="2085" xr:uid="{A7CCFA2A-39F6-43D2-9765-8A1600DB6EBA}"/>
    <cellStyle name="20% - akcent 6 4" xfId="265" xr:uid="{917DF066-8E96-4FFD-B9C2-7EA8C5C87E47}"/>
    <cellStyle name="20% — akcent 6 4" xfId="2106" xr:uid="{9670A5E9-AEAF-48AE-A69A-10D5E39068ED}"/>
    <cellStyle name="20% - akcent 6 5" xfId="266" xr:uid="{2CF2A453-4CEE-4D77-8E17-16EC41085C86}"/>
    <cellStyle name="20% — akcent 6 5" xfId="2121" xr:uid="{9368531A-148C-4A44-846C-F85306891DB9}"/>
    <cellStyle name="20% — akcent 6 6" xfId="2133" xr:uid="{7A6FEBD4-9645-4B8B-B626-C9ADEA8E8C80}"/>
    <cellStyle name="20% — akcent 6 7" xfId="2163" xr:uid="{5BA1C66A-D8C7-41A1-8824-4DFB11EE8621}"/>
    <cellStyle name="20% — akcent 6 8" xfId="2257" xr:uid="{A0433F7C-4B9C-4B1F-A153-981A7C47D47A}"/>
    <cellStyle name="20% — akcent 6 9" xfId="2274" xr:uid="{E3FBB3C3-A46C-4D52-A4D8-326CD08E6E07}"/>
    <cellStyle name="20% - Akzent1" xfId="267" xr:uid="{0B01BFEC-CB14-41E1-9C3F-741EB884A62B}"/>
    <cellStyle name="20% - Akzent1 2" xfId="268" xr:uid="{C1913A33-8C49-4404-AD23-1B8AB656125A}"/>
    <cellStyle name="20% - Akzent1 3" xfId="269" xr:uid="{0E88466F-ECE4-4E02-AA89-DE780257A1F6}"/>
    <cellStyle name="20% - Akzent1_FAGOR" xfId="270" xr:uid="{DF23FD46-4A68-47B4-B0BB-B31FC61DB42B}"/>
    <cellStyle name="20% - Akzent2" xfId="271" xr:uid="{A7504D1C-74C8-4A13-8868-8225AD4ECE6F}"/>
    <cellStyle name="20% - Akzent2 2" xfId="272" xr:uid="{3B062F62-43D3-4B02-B2BC-E2F282742A65}"/>
    <cellStyle name="20% - Akzent2 3" xfId="273" xr:uid="{9B5AC996-85FB-45CD-82E8-D4CBFA9FB55E}"/>
    <cellStyle name="20% - Akzent2_FAGOR" xfId="274" xr:uid="{101B93E5-7B31-40E6-A8D0-4978B1F15E25}"/>
    <cellStyle name="20% - Akzent3" xfId="275" xr:uid="{F9FE5169-5FE8-4CD7-A39F-81DB17B93AB3}"/>
    <cellStyle name="20% - Akzent3 2" xfId="276" xr:uid="{0400A3C9-031B-43F6-91A9-D107C05FE98C}"/>
    <cellStyle name="20% - Akzent3 3" xfId="277" xr:uid="{157C44AB-0244-41F1-BDCD-C40A689FFB3B}"/>
    <cellStyle name="20% - Akzent3_FAGOR" xfId="278" xr:uid="{DDE73D07-E8A1-458E-AB7E-193D26071DDB}"/>
    <cellStyle name="20% - Akzent4" xfId="279" xr:uid="{9446AA8E-3DF1-4B08-9457-3FD9A646C7C7}"/>
    <cellStyle name="20% - Akzent4 2" xfId="280" xr:uid="{F6063EB0-99D7-4C68-B555-F92E21987693}"/>
    <cellStyle name="20% - Akzent4 3" xfId="281" xr:uid="{11ADC5B3-E3BF-4C09-8A06-82C398385C61}"/>
    <cellStyle name="20% - Akzent4_FAGOR" xfId="282" xr:uid="{5870B0D5-93E6-4C8C-8675-70530A38337E}"/>
    <cellStyle name="20% - Akzent5" xfId="283" xr:uid="{3EF4ECE8-20D0-4A02-8D91-7AD5C0B6DFFB}"/>
    <cellStyle name="20% - Akzent5 2" xfId="284" xr:uid="{E244A31C-812F-4BFD-B413-D6018A2C01C6}"/>
    <cellStyle name="20% - Akzent5 3" xfId="285" xr:uid="{4B2D4091-BC12-4D29-AA54-CDDA74553F4A}"/>
    <cellStyle name="20% - Akzent5_FAGOR" xfId="286" xr:uid="{FEB78925-5E92-4591-A09D-42468B2CD819}"/>
    <cellStyle name="20% - Akzent6" xfId="287" xr:uid="{A56397F8-26AA-47F9-B13E-B8CA7DBD9343}"/>
    <cellStyle name="20% - Akzent6 2" xfId="288" xr:uid="{B11E5887-6D47-40B6-B6CD-27E7696406C7}"/>
    <cellStyle name="20% - Akzent6 3" xfId="289" xr:uid="{31BBF503-5AF9-45E7-A595-7C93A4778323}"/>
    <cellStyle name="20% - Akzent6_FAGOR" xfId="290" xr:uid="{9C2C89D5-132F-4D54-B502-3BCC1BF4C201}"/>
    <cellStyle name="20% - Dekorfärg1" xfId="291" xr:uid="{C16AC1CC-5366-4F1C-A811-BA6F7055AE37}"/>
    <cellStyle name="20% - Dekorfärg1 2" xfId="292" xr:uid="{F9936AD3-D9C9-4B11-9271-9DE0BAECD02B}"/>
    <cellStyle name="20% - Dekorfärg1_FAGOR" xfId="293" xr:uid="{430A0FF4-CAD5-4EED-9708-C7AF407A3B83}"/>
    <cellStyle name="20% - Dekorfärg2" xfId="294" xr:uid="{7D66F874-37DC-4563-9A73-633869A8062E}"/>
    <cellStyle name="20% - Dekorfärg2 2" xfId="295" xr:uid="{82096259-6B5D-40CB-8298-EBA913F011BD}"/>
    <cellStyle name="20% - Dekorfärg2_FAGOR" xfId="296" xr:uid="{EA8487A1-5F1E-4B6B-A5C6-14F2D35B5E86}"/>
    <cellStyle name="20% - Dekorfärg3" xfId="297" xr:uid="{061E1DED-9BD0-46FE-86AD-F2D4F033D605}"/>
    <cellStyle name="20% - Dekorfärg3 2" xfId="298" xr:uid="{F678CBAE-E3F6-4B90-896C-0270F332AED8}"/>
    <cellStyle name="20% - Dekorfärg3_FAGOR" xfId="299" xr:uid="{1AEBF27D-B715-48B5-AD65-CD33AEC4CBE8}"/>
    <cellStyle name="20% - Dekorfärg4" xfId="300" xr:uid="{31DA98FF-09D5-4488-9B44-AED15971159E}"/>
    <cellStyle name="20% - Dekorfärg4 2" xfId="301" xr:uid="{37F89C1F-A082-4359-A8D3-75886D4F5CAC}"/>
    <cellStyle name="20% - Dekorfärg4_FAGOR" xfId="302" xr:uid="{B6523992-5BB7-4F53-AABD-77C5B451F147}"/>
    <cellStyle name="20% - Dekorfärg5" xfId="303" xr:uid="{75AA0739-7684-4694-A6E0-7B45BDAF54A3}"/>
    <cellStyle name="20% - Dekorfärg5 2" xfId="304" xr:uid="{1B968389-F361-41E4-A43E-CFB14A3B9711}"/>
    <cellStyle name="20% - Dekorfärg5_FAGOR" xfId="305" xr:uid="{F28FE72B-A545-4318-824D-9DBCE0215091}"/>
    <cellStyle name="20% - Dekorfärg6" xfId="306" xr:uid="{8D3C9EF8-DDDA-4949-9EA0-7D8B1554D5C8}"/>
    <cellStyle name="20% - Dekorfärg6 2" xfId="307" xr:uid="{ED9FE438-6A9D-48F5-A12F-0E63A0EE06E0}"/>
    <cellStyle name="20% - Dekorfärg6_FAGOR" xfId="308" xr:uid="{EA297FD2-55E8-4748-BDD5-D1D78FAA252F}"/>
    <cellStyle name="40 % – Zvýraznění1" xfId="309" xr:uid="{D6D02F55-4C36-43C3-A3ED-C701A32EE093}"/>
    <cellStyle name="40 % – Zvýraznění1 2" xfId="310" xr:uid="{0B40C0A4-8722-493A-9E97-99884F2FEC28}"/>
    <cellStyle name="40 % – Zvýraznění1 2 2" xfId="311" xr:uid="{3441005C-54E3-457E-A8F6-24EDD962E4B2}"/>
    <cellStyle name="40 % – Zvýraznění2" xfId="312" xr:uid="{5FC2F7E2-71F8-43F7-900D-5E03BA327BAF}"/>
    <cellStyle name="40 % – Zvýraznění2 2" xfId="313" xr:uid="{7846B0F8-2A67-4610-860E-74DAA7DE6A47}"/>
    <cellStyle name="40 % – Zvýraznění2 2 2" xfId="314" xr:uid="{47B99F93-6F79-4AB0-A3AA-A48C72515174}"/>
    <cellStyle name="40 % – Zvýraznění3" xfId="315" xr:uid="{18772E0C-CB4A-4B17-A036-1A245E4AE295}"/>
    <cellStyle name="40 % – Zvýraznění3 2" xfId="316" xr:uid="{F336EF6D-4FA2-4E46-A03A-EDCBCC50AD52}"/>
    <cellStyle name="40 % – Zvýraznění3 2 2" xfId="317" xr:uid="{5CB40AE3-BBEF-49B4-8A7B-363D30909A9B}"/>
    <cellStyle name="40 % – Zvýraznění4" xfId="318" xr:uid="{3F9D5B2A-5FD4-406C-96A7-A833FF49C6B0}"/>
    <cellStyle name="40 % – Zvýraznění4 2" xfId="319" xr:uid="{9AC0E544-1C4A-4EDD-BB1E-E1BE6641BC71}"/>
    <cellStyle name="40 % – Zvýraznění4 2 2" xfId="320" xr:uid="{F4FCEC3A-AEB7-44F8-BC9A-854875CD2169}"/>
    <cellStyle name="40 % – Zvýraznění5" xfId="321" xr:uid="{0D1E9B74-B7DC-4AE8-9EF9-8AD55F5A737F}"/>
    <cellStyle name="40 % – Zvýraznění5 2" xfId="322" xr:uid="{3AE2B584-A21B-4250-9F3B-6E4528ABED71}"/>
    <cellStyle name="40 % – Zvýraznění5 2 2" xfId="323" xr:uid="{D39F2C04-1ED8-4EB0-B6E6-643D16EBD3EC}"/>
    <cellStyle name="40 % – Zvýraznění6" xfId="324" xr:uid="{EDC933BD-7653-4C38-9D78-5DD29F87E10B}"/>
    <cellStyle name="40 % – Zvýraznění6 2" xfId="325" xr:uid="{BCCB97A8-5C78-4EA2-A987-42F4BE94621E}"/>
    <cellStyle name="40 % – Zvýraznění6 2 2" xfId="326" xr:uid="{67352A31-C78B-40C2-AD02-058960446989}"/>
    <cellStyle name="40 % - Accent1" xfId="327" xr:uid="{DE122F2E-E341-4383-99B2-25F5C2E64BE4}"/>
    <cellStyle name="40 % - Accent1 2" xfId="328" xr:uid="{B3C77B62-E3D3-4259-8D15-2623D00AAB73}"/>
    <cellStyle name="40 % - Accent1_FAGOR" xfId="329" xr:uid="{410EE7DD-9DD0-4B2C-9E3F-897E30F17796}"/>
    <cellStyle name="40 % - Accent2" xfId="330" xr:uid="{B1D65552-DA62-4A70-8051-8EF91D3BA08A}"/>
    <cellStyle name="40 % - Accent2 2" xfId="331" xr:uid="{F9040D20-DACB-4E59-8EB5-B82F7D6AADF7}"/>
    <cellStyle name="40 % - Accent2_FAGOR" xfId="332" xr:uid="{3EC37B28-3881-4099-B53B-8B6ACBD59C2D}"/>
    <cellStyle name="40 % - Accent3" xfId="333" xr:uid="{796DCB1C-2384-45A9-A4DB-06AA8A43C122}"/>
    <cellStyle name="40 % - Accent3 2" xfId="334" xr:uid="{1D86AA8F-8AC3-477E-8464-528515CAFCE9}"/>
    <cellStyle name="40 % - Accent3_FAGOR" xfId="335" xr:uid="{0EDCEA06-09C4-4F49-9E15-2B031EBD2C15}"/>
    <cellStyle name="40 % - Accent4" xfId="336" xr:uid="{92B823E8-1E17-41EF-9EFA-86B50651B7EE}"/>
    <cellStyle name="40 % - Accent4 2" xfId="337" xr:uid="{67339F8E-4F9D-4FF0-909C-05C72AF91D0B}"/>
    <cellStyle name="40 % - Accent4_FAGOR" xfId="338" xr:uid="{8DDDC087-A090-4F80-993D-DE7A166B3457}"/>
    <cellStyle name="40 % - Accent5" xfId="339" xr:uid="{B39103CE-9D4F-4B28-9CE0-CAE5756C8CD6}"/>
    <cellStyle name="40 % - Accent5 2" xfId="340" xr:uid="{BBA1AF62-D264-43AA-BE6F-B38BDD7A9228}"/>
    <cellStyle name="40 % - Accent5_FAGOR" xfId="341" xr:uid="{5C7F1802-3E06-425A-AAAD-26AD0CDE1C10}"/>
    <cellStyle name="40 % - Accent6" xfId="342" xr:uid="{AA54FD10-5068-45B4-84E2-3F8BAE96ECF6}"/>
    <cellStyle name="40 % - Accent6 2" xfId="343" xr:uid="{E5E1F7FF-2C69-4071-B568-A72C7EC6CC52}"/>
    <cellStyle name="40 % - Accent6_FAGOR" xfId="344" xr:uid="{187EC3C5-6FAD-424A-B4E6-9FE6E9A15387}"/>
    <cellStyle name="40% - 1. jelölőszín" xfId="345" xr:uid="{54EDA2C3-7761-45D5-BD4D-75A311C5DAFE}"/>
    <cellStyle name="40% - 1. jelölőszín 2" xfId="346" xr:uid="{1B50BF7A-7BAB-4B23-B825-A7262562B156}"/>
    <cellStyle name="40% - 2. jelölőszín" xfId="347" xr:uid="{18B55C54-CED4-4B47-8FDC-0D88F7D10A35}"/>
    <cellStyle name="40% - 2. jelölőszín 2" xfId="348" xr:uid="{47676F90-CC65-40EB-86B3-AE1F8AD2ED23}"/>
    <cellStyle name="40% - 3. jelölőszín" xfId="349" xr:uid="{F4B10AC0-F978-4076-9DAD-AFB14BA091FE}"/>
    <cellStyle name="40% - 3. jelölőszín 2" xfId="350" xr:uid="{FB556150-62FF-4A47-A815-129173D4E330}"/>
    <cellStyle name="40% - 4. jelölőszín" xfId="351" xr:uid="{323A8D29-627F-4BBB-A1C1-E70CB2D27A0D}"/>
    <cellStyle name="40% - 4. jelölőszín 2" xfId="352" xr:uid="{BF5FF62E-875D-4159-83C1-4C989184C4D8}"/>
    <cellStyle name="40% - 5. jelölőszín" xfId="353" xr:uid="{60EEC754-1957-48F0-A029-EA96C7CC87F1}"/>
    <cellStyle name="40% - 5. jelölőszín 2" xfId="354" xr:uid="{863D9315-F249-486C-92C3-BB07D83549D8}"/>
    <cellStyle name="40% - 6. jelölőszín" xfId="355" xr:uid="{35A48188-8240-4D66-8F4E-B609C56EB759}"/>
    <cellStyle name="40% - 6. jelölőszín 2" xfId="356" xr:uid="{4EF65B0C-426E-4EAE-A559-0165E7FBA567}"/>
    <cellStyle name="40% - Accent1" xfId="357" xr:uid="{BEF43F27-9B23-4845-9279-604521362A68}"/>
    <cellStyle name="40% - Accent1 2" xfId="358" xr:uid="{79A51328-7AAA-4776-A238-C9FFA0CB531B}"/>
    <cellStyle name="40% - Accent2" xfId="359" xr:uid="{471ED8E9-5C5D-4C2F-9A52-10779CA7290F}"/>
    <cellStyle name="40% - Accent2 2" xfId="360" xr:uid="{36DAB513-17CB-429C-878F-8A8A7437088F}"/>
    <cellStyle name="40% - Accent3" xfId="361" xr:uid="{1BB44531-0C48-4F19-8B12-28CF04540AAF}"/>
    <cellStyle name="40% - Accent3 2" xfId="362" xr:uid="{8841B48E-EBBC-47EC-8F52-7CC55EE3E8B0}"/>
    <cellStyle name="40% - Accent4" xfId="363" xr:uid="{F9DD3B16-4448-4931-9ABF-9B619FCD8B1F}"/>
    <cellStyle name="40% - Accent4 2" xfId="364" xr:uid="{F30AB32D-AFFD-499A-AF94-5E2AB9A644C6}"/>
    <cellStyle name="40% - Accent5" xfId="365" xr:uid="{90E072FC-89CB-47EA-9E0D-85E4B52AAF3B}"/>
    <cellStyle name="40% - Accent5 2" xfId="366" xr:uid="{FC5E7A8F-83A1-4B08-A1CD-7B4F7AF8C258}"/>
    <cellStyle name="40% - Accent6" xfId="367" xr:uid="{5EFDD4C5-0914-4910-BB6E-4560E55EB67A}"/>
    <cellStyle name="40% - Accent6 2" xfId="368" xr:uid="{8293373D-0A4A-43E9-A3CE-AB33BFF31013}"/>
    <cellStyle name="40% — akcent 1" xfId="19" builtinId="31" customBuiltin="1"/>
    <cellStyle name="40% — akcent 1 10" xfId="2323" xr:uid="{2A30BEB8-B4B5-46E0-B8DE-57D8B5AABF4E}"/>
    <cellStyle name="40% — akcent 1 11" xfId="2376" xr:uid="{9BBA0B0B-6D42-4CB0-82F1-85C4B9959917}"/>
    <cellStyle name="40% - akcent 1 2" xfId="369" xr:uid="{EE86C652-7718-4370-AECB-CBC02A7D42B1}"/>
    <cellStyle name="40% — akcent 1 2" xfId="2042" xr:uid="{7D499AD0-AAC1-4C07-B4A6-BF604FC5C0AC}"/>
    <cellStyle name="40% - akcent 1 2 2" xfId="370" xr:uid="{4B6FD776-E170-4320-AD14-75983F109E4D}"/>
    <cellStyle name="40% - akcent 1 3" xfId="371" xr:uid="{8AEE1E98-9750-4CB1-8CF3-72E0E88D4C2E}"/>
    <cellStyle name="40% — akcent 1 3" xfId="2067" xr:uid="{FAFD5B42-A9AD-430C-B8D2-DEA7A97FE1E3}"/>
    <cellStyle name="40% - akcent 1 4" xfId="372" xr:uid="{F0362839-7F98-4606-8AE8-CF2DDBAF99AC}"/>
    <cellStyle name="40% — akcent 1 4" xfId="2073" xr:uid="{1F08D01A-FD46-47EF-9F15-72FBB2BC465E}"/>
    <cellStyle name="40% - akcent 1 5" xfId="373" xr:uid="{FCA5F5B9-C6D2-4ED4-91EA-A5CCA561879F}"/>
    <cellStyle name="40% — akcent 1 5" xfId="2105" xr:uid="{F0C944C4-4895-4DD0-B03D-1931BBC43B78}"/>
    <cellStyle name="40% — akcent 1 6" xfId="2120" xr:uid="{E1662679-71AD-4E52-89E5-9627412C3DF8}"/>
    <cellStyle name="40% — akcent 1 7" xfId="2149" xr:uid="{5C862753-9F2F-4678-B36D-F59F39DD4178}"/>
    <cellStyle name="40% — akcent 1 8" xfId="2243" xr:uid="{93EDBBD0-3030-407B-9E44-7B2310C3E0F1}"/>
    <cellStyle name="40% — akcent 1 9" xfId="2276" xr:uid="{537B1525-41DA-4EA0-9507-AF3993BD34A9}"/>
    <cellStyle name="40% — akcent 2" xfId="23" builtinId="35" customBuiltin="1"/>
    <cellStyle name="40% — akcent 2 10" xfId="2326" xr:uid="{CA2044EE-BFF5-4716-8AA2-28F18E83165C}"/>
    <cellStyle name="40% — akcent 2 11" xfId="2379" xr:uid="{D1F18279-278E-43F0-878A-C69968886B37}"/>
    <cellStyle name="40% - akcent 2 2" xfId="374" xr:uid="{C7D8CF92-EEF4-4AA9-B2A6-A8FE1E10B559}"/>
    <cellStyle name="40% — akcent 2 2" xfId="2045" xr:uid="{9C8A9587-EF9A-473F-B048-35E305AE2460}"/>
    <cellStyle name="40% - akcent 2 2 2" xfId="375" xr:uid="{D95706FA-A0C8-4473-967E-D97A56B534BF}"/>
    <cellStyle name="40% - akcent 2 3" xfId="376" xr:uid="{F3275635-B1F4-46F1-931B-F83A275F185B}"/>
    <cellStyle name="40% — akcent 2 3" xfId="2071" xr:uid="{291039B4-65CC-4243-883E-2F78BEDAFF48}"/>
    <cellStyle name="40% - akcent 2 4" xfId="377" xr:uid="{F49EB574-EC17-417F-854C-95DDA1A0C82E}"/>
    <cellStyle name="40% — akcent 2 4" xfId="2091" xr:uid="{EC151D88-E98D-45C3-9B85-3795C1E172B5}"/>
    <cellStyle name="40% - akcent 2 5" xfId="378" xr:uid="{C21F77F2-14FD-4CC3-859E-36BB41D0C575}"/>
    <cellStyle name="40% — akcent 2 5" xfId="2065" xr:uid="{6D8ADF71-7168-4807-ADC0-623C2B19A316}"/>
    <cellStyle name="40% — akcent 2 6" xfId="2097" xr:uid="{FB74FAFA-060E-4216-9E2A-1AFC41A46DD5}"/>
    <cellStyle name="40% — akcent 2 7" xfId="2152" xr:uid="{23DA2B4D-0405-4A00-9BAF-AF50237F58E0}"/>
    <cellStyle name="40% — akcent 2 8" xfId="2246" xr:uid="{F005360E-22BD-47DA-9E48-CA7D976ACFFA}"/>
    <cellStyle name="40% — akcent 2 9" xfId="2267" xr:uid="{FE4D2ADA-AA2A-41A2-AC57-53DEBF0BDDA3}"/>
    <cellStyle name="40% — akcent 3" xfId="27" builtinId="39" customBuiltin="1"/>
    <cellStyle name="40% — akcent 3 10" xfId="2329" xr:uid="{05023CCE-E077-4716-929F-260B847A9D78}"/>
    <cellStyle name="40% — akcent 3 11" xfId="2382" xr:uid="{02BF1E2E-BEA4-4DD2-AD08-60D502C1F65A}"/>
    <cellStyle name="40% - akcent 3 2" xfId="379" xr:uid="{A7E1D72A-A6BA-48A2-9493-23D447977242}"/>
    <cellStyle name="40% — akcent 3 2" xfId="2048" xr:uid="{C2B852FD-56CD-4988-B059-F9F736A10A92}"/>
    <cellStyle name="40% - akcent 3 2 2" xfId="380" xr:uid="{0B4024E6-73A3-481C-87C4-C8C7F6D20737}"/>
    <cellStyle name="40% - akcent 3 3" xfId="381" xr:uid="{B96E5C37-2609-4427-9934-0B61D58AB622}"/>
    <cellStyle name="40% — akcent 3 3" xfId="2075" xr:uid="{0B7F300C-D327-41E5-8B23-5D63A6383652}"/>
    <cellStyle name="40% - akcent 3 4" xfId="382" xr:uid="{BAC6C07D-CE48-4AE7-826C-0AB9A4D61AC4}"/>
    <cellStyle name="40% — akcent 3 4" xfId="2095" xr:uid="{6B7112BF-7F49-4877-817A-7D536F11B576}"/>
    <cellStyle name="40% - akcent 3 5" xfId="383" xr:uid="{727932AD-FD24-4533-A549-46FEF3224CCA}"/>
    <cellStyle name="40% — akcent 3 5" xfId="2111" xr:uid="{2DC4C360-DEC2-40FE-8318-7710A58DBF66}"/>
    <cellStyle name="40% — akcent 3 6" xfId="2125" xr:uid="{BC989541-9932-40DC-870A-B76650968FD9}"/>
    <cellStyle name="40% — akcent 3 7" xfId="2155" xr:uid="{DE395DEC-685D-405E-A6CC-DEF5E88B1B95}"/>
    <cellStyle name="40% — akcent 3 8" xfId="2249" xr:uid="{0ECA26E0-1483-49B2-9E50-D330B44D994B}"/>
    <cellStyle name="40% — akcent 3 9" xfId="2147" xr:uid="{1354FCF7-0364-4B8E-BCD0-AD80135A896C}"/>
    <cellStyle name="40% — akcent 4" xfId="31" builtinId="43" customBuiltin="1"/>
    <cellStyle name="40% — akcent 4 10" xfId="2332" xr:uid="{15AC44F2-5AF8-4C5C-94E1-A9727245DF4A}"/>
    <cellStyle name="40% — akcent 4 11" xfId="2385" xr:uid="{3C16D866-2E0E-4D36-9D96-D74F7D4CC7DB}"/>
    <cellStyle name="40% - akcent 4 2" xfId="384" xr:uid="{78EAFB7F-302C-478C-A22F-4A46943E4B41}"/>
    <cellStyle name="40% — akcent 4 2" xfId="2051" xr:uid="{0CEBD7B4-1A31-4BB9-99CC-DE7885E5F40D}"/>
    <cellStyle name="40% - akcent 4 2 2" xfId="385" xr:uid="{D03AE243-D8AD-4A16-A372-D9AA7D4E85D0}"/>
    <cellStyle name="40% - akcent 4 3" xfId="386" xr:uid="{53DC1D43-1D8C-4B5C-A974-C7E9F4FE515A}"/>
    <cellStyle name="40% — akcent 4 3" xfId="2079" xr:uid="{BA0700D7-32B8-41E8-B7D9-E3724B03F954}"/>
    <cellStyle name="40% - akcent 4 4" xfId="387" xr:uid="{99B8D9C4-97AD-4E93-A41F-FC1F21BD14AB}"/>
    <cellStyle name="40% — akcent 4 4" xfId="2099" xr:uid="{4B10A3CE-F29E-4A30-ABD9-EE0378665A84}"/>
    <cellStyle name="40% - akcent 4 5" xfId="388" xr:uid="{A1D21E08-7A1D-4533-AC99-4BCB1707CA26}"/>
    <cellStyle name="40% — akcent 4 5" xfId="2114" xr:uid="{5E26F6C0-E09A-4227-80B6-89E839D19B37}"/>
    <cellStyle name="40% — akcent 4 6" xfId="2128" xr:uid="{1F6F2EC3-14D2-47B7-B3C4-BE869CA44EB8}"/>
    <cellStyle name="40% — akcent 4 7" xfId="2158" xr:uid="{9FFAF2D9-8833-4CAC-A3C4-119AD5DA517D}"/>
    <cellStyle name="40% — akcent 4 8" xfId="2252" xr:uid="{EB46CEA3-6D79-41EB-A637-4B62D3A2C4B3}"/>
    <cellStyle name="40% — akcent 4 9" xfId="2263" xr:uid="{5707F81E-0B5E-4F54-BEE8-4612EFEA7E8E}"/>
    <cellStyle name="40% — akcent 5" xfId="35" builtinId="47" customBuiltin="1"/>
    <cellStyle name="40% — akcent 5 10" xfId="2335" xr:uid="{DB694F19-53F4-49F7-AE0E-49CD183C0774}"/>
    <cellStyle name="40% — akcent 5 11" xfId="2388" xr:uid="{1AE6AB5E-30B4-40DE-8A6C-76A6B911AFF3}"/>
    <cellStyle name="40% - akcent 5 2" xfId="389" xr:uid="{72B674F9-655F-4B99-8758-29ACADD8DA82}"/>
    <cellStyle name="40% — akcent 5 2" xfId="2054" xr:uid="{9D90B778-8712-4E37-A036-8FD9D9A3FF14}"/>
    <cellStyle name="40% - akcent 5 2 2" xfId="390" xr:uid="{1C57C463-0AF6-4E6C-A376-76513E3A5E9D}"/>
    <cellStyle name="40% - akcent 5 3" xfId="391" xr:uid="{DFA96BB8-1834-4F10-A508-8A9D337A085C}"/>
    <cellStyle name="40% — akcent 5 3" xfId="2083" xr:uid="{640AC1C8-7D62-43DC-AB7E-417F12741065}"/>
    <cellStyle name="40% - akcent 5 4" xfId="392" xr:uid="{06C61345-2671-4F2E-9DBE-93F482C90AF5}"/>
    <cellStyle name="40% — akcent 5 4" xfId="2103" xr:uid="{4C84C46A-FDF1-41B4-9D3F-8B10CB457097}"/>
    <cellStyle name="40% - akcent 5 5" xfId="393" xr:uid="{048930C2-63A0-4BD1-AE1D-E309E8141B34}"/>
    <cellStyle name="40% — akcent 5 5" xfId="2118" xr:uid="{61D1342B-2CE1-4095-A26B-7971A40320C8}"/>
    <cellStyle name="40% — akcent 5 6" xfId="2131" xr:uid="{2D968409-C51D-49ED-8559-B20CB7269679}"/>
    <cellStyle name="40% — akcent 5 7" xfId="2161" xr:uid="{2507C171-8C02-44DD-AE8E-C4AC96AF2249}"/>
    <cellStyle name="40% — akcent 5 8" xfId="2255" xr:uid="{631E923B-546D-4CFB-A7DC-4FA5387D39DF}"/>
    <cellStyle name="40% — akcent 5 9" xfId="2270" xr:uid="{AB0AE04A-E414-4AC0-B58A-4A14B6581793}"/>
    <cellStyle name="40% — akcent 6" xfId="39" builtinId="51" customBuiltin="1"/>
    <cellStyle name="40% — akcent 6 10" xfId="2338" xr:uid="{36178163-777A-4288-BA8C-1A31FE56076B}"/>
    <cellStyle name="40% — akcent 6 11" xfId="2391" xr:uid="{1B7ADFED-2393-404B-A30F-92E1C343D599}"/>
    <cellStyle name="40% - akcent 6 2" xfId="394" xr:uid="{4A2F0F7D-5296-42DC-8566-D5330F23FFF7}"/>
    <cellStyle name="40% — akcent 6 2" xfId="2057" xr:uid="{8F960DC0-9012-4136-8078-294B209922FE}"/>
    <cellStyle name="40% - akcent 6 2 2" xfId="395" xr:uid="{3632E84C-F368-4BE2-BDDB-11F6CAF1DA60}"/>
    <cellStyle name="40% - akcent 6 3" xfId="396" xr:uid="{0D32451B-256F-4B88-B13E-AC10962583A5}"/>
    <cellStyle name="40% — akcent 6 3" xfId="2086" xr:uid="{51603E14-19F6-4A69-9157-3131D7D6F26C}"/>
    <cellStyle name="40% - akcent 6 4" xfId="397" xr:uid="{63C0F666-0371-410D-8FFF-1A6751BCBD17}"/>
    <cellStyle name="40% — akcent 6 4" xfId="2107" xr:uid="{F072BD3A-628E-40F9-B910-D58C60B1533E}"/>
    <cellStyle name="40% - akcent 6 5" xfId="398" xr:uid="{338FFBF3-6C6E-42E3-8E7C-0796E3EFA519}"/>
    <cellStyle name="40% — akcent 6 5" xfId="2122" xr:uid="{3FB1AAFB-6312-4D3A-842E-154E54D5195D}"/>
    <cellStyle name="40% — akcent 6 6" xfId="2134" xr:uid="{7D2D4CEF-20F5-4220-85E8-06CCE9ECE3F5}"/>
    <cellStyle name="40% — akcent 6 7" xfId="2164" xr:uid="{A68D6ACD-6E6E-4CD6-8D07-E3C076CF1CEC}"/>
    <cellStyle name="40% — akcent 6 8" xfId="2258" xr:uid="{7BAA6576-ABE2-4C35-9398-178D886FA1F3}"/>
    <cellStyle name="40% — akcent 6 9" xfId="2273" xr:uid="{5ABB2C2D-D78B-4737-8487-983ACCE1E51C}"/>
    <cellStyle name="40% - Akzent1" xfId="399" xr:uid="{DFF4D436-475E-487C-B82D-ED07D064F02A}"/>
    <cellStyle name="40% - Akzent1 2" xfId="400" xr:uid="{67442EFD-0B36-4655-9ADD-F8F89F939DF0}"/>
    <cellStyle name="40% - Akzent1 3" xfId="401" xr:uid="{FAE07A33-C3F4-43DA-9349-2DC5C2C9E9F5}"/>
    <cellStyle name="40% - Akzent1_FAGOR" xfId="402" xr:uid="{0B63EF17-7653-4F09-BDA9-FFB840165275}"/>
    <cellStyle name="40% - Akzent2" xfId="403" xr:uid="{C5237119-2D62-4AB6-A5B9-EAAA855237D3}"/>
    <cellStyle name="40% - Akzent2 2" xfId="404" xr:uid="{F91AE3C1-8883-4494-8642-5EE408753C9E}"/>
    <cellStyle name="40% - Akzent2 3" xfId="405" xr:uid="{15A8F42A-5887-49DD-B293-CF32AC4763E1}"/>
    <cellStyle name="40% - Akzent2_FAGOR" xfId="406" xr:uid="{AB4FD66A-EF6C-4D03-9130-5580B238092B}"/>
    <cellStyle name="40% - Akzent3" xfId="407" xr:uid="{19E54A39-72E2-48A6-91D5-8FF901D4EA89}"/>
    <cellStyle name="40% - Akzent3 2" xfId="408" xr:uid="{263169EE-A49A-44F9-B730-C01DAE2E5CDF}"/>
    <cellStyle name="40% - Akzent3 3" xfId="409" xr:uid="{30BDD157-E1DB-47C1-B19B-6DAA516E7AF6}"/>
    <cellStyle name="40% - Akzent3_FAGOR" xfId="410" xr:uid="{9CED6283-E4D5-43DF-9E8F-BFCB79C92B80}"/>
    <cellStyle name="40% - Akzent4" xfId="411" xr:uid="{9F5E8F0F-CA82-45B8-B4A9-C8F967F30241}"/>
    <cellStyle name="40% - Akzent4 2" xfId="412" xr:uid="{93DA9C71-5E5A-4BAE-961F-050EA6BDC280}"/>
    <cellStyle name="40% - Akzent4 3" xfId="413" xr:uid="{E09FE1F4-2CF9-43C7-82DC-E3D09039C5BA}"/>
    <cellStyle name="40% - Akzent4_FAGOR" xfId="414" xr:uid="{5E8C8CA6-670A-4F61-8293-8C86EC3F9BD9}"/>
    <cellStyle name="40% - Akzent5" xfId="415" xr:uid="{7708A2E9-D448-4B30-8EA6-D751773E4D32}"/>
    <cellStyle name="40% - Akzent5 2" xfId="416" xr:uid="{5FB48934-8AA5-45F8-B723-2A9EBB2BA822}"/>
    <cellStyle name="40% - Akzent5 3" xfId="417" xr:uid="{F5914A7E-DEDE-4625-93D2-C72538C04AB8}"/>
    <cellStyle name="40% - Akzent5_FAGOR" xfId="418" xr:uid="{9E9C1E1C-6A03-431B-ABB4-53D404FF79FD}"/>
    <cellStyle name="40% - Akzent6" xfId="419" xr:uid="{FF63AD22-12DA-4E87-9DC7-AFCF1DC1925B}"/>
    <cellStyle name="40% - Akzent6 2" xfId="420" xr:uid="{61EACB37-C8E9-4D5A-AA90-7E97E13C4A34}"/>
    <cellStyle name="40% - Akzent6 3" xfId="421" xr:uid="{5AC2A5DA-8740-4159-9626-105620425C92}"/>
    <cellStyle name="40% - Akzent6_FAGOR" xfId="422" xr:uid="{8DCCBC33-709A-454B-9E56-EE2D0A0384D9}"/>
    <cellStyle name="40% - Dekorfärg1" xfId="423" xr:uid="{B4E50492-14B2-43FA-87AE-6793E7B43130}"/>
    <cellStyle name="40% - Dekorfärg1 2" xfId="424" xr:uid="{96C05D66-F5D1-42C2-B9DA-BBEF1CF0E14A}"/>
    <cellStyle name="40% - Dekorfärg1_FAGOR" xfId="425" xr:uid="{4DF553DC-F793-48D2-8208-3120DC4128B6}"/>
    <cellStyle name="40% - Dekorfärg2" xfId="426" xr:uid="{8543C89E-C33E-477E-9464-95E7163DE3EA}"/>
    <cellStyle name="40% - Dekorfärg2 2" xfId="427" xr:uid="{3DA2582B-2B14-42D1-AF2E-754F99D46578}"/>
    <cellStyle name="40% - Dekorfärg2_FAGOR" xfId="428" xr:uid="{806C28E6-5343-4E01-9CF0-C2CD2BD1A270}"/>
    <cellStyle name="40% - Dekorfärg3" xfId="429" xr:uid="{3E6B7354-3137-4A85-A4D1-228447DB3D8B}"/>
    <cellStyle name="40% - Dekorfärg3 2" xfId="430" xr:uid="{06B9A728-298E-4E3C-9B57-70341FCC5619}"/>
    <cellStyle name="40% - Dekorfärg3_FAGOR" xfId="431" xr:uid="{52DB1E04-A38E-4B8F-B83E-E00CBBA2F847}"/>
    <cellStyle name="40% - Dekorfärg4" xfId="432" xr:uid="{782F92A2-D3CA-4430-ACE4-35EEA81816A3}"/>
    <cellStyle name="40% - Dekorfärg4 2" xfId="433" xr:uid="{95DB992C-3784-4140-9CF5-78FE1C45A12D}"/>
    <cellStyle name="40% - Dekorfärg4_FAGOR" xfId="434" xr:uid="{392DB7B2-5492-49FD-B156-06FD200D9B0C}"/>
    <cellStyle name="40% - Dekorfärg5" xfId="435" xr:uid="{56AF2EB8-75BD-4B08-AA43-7B8B4FFD58DC}"/>
    <cellStyle name="40% - Dekorfärg5 2" xfId="436" xr:uid="{772F3A9F-8AB4-49B4-B70B-C8DF98C9E0DB}"/>
    <cellStyle name="40% - Dekorfärg5_FAGOR" xfId="437" xr:uid="{449F11FD-BA3C-4626-852D-C80DFDA6C01F}"/>
    <cellStyle name="40% - Dekorfärg6" xfId="438" xr:uid="{6EBA0CAB-9788-47E0-A47A-9EBDBB060B66}"/>
    <cellStyle name="40% - Dekorfärg6 2" xfId="439" xr:uid="{BCFA9639-5477-4C9B-A648-426772594059}"/>
    <cellStyle name="40% - Dekorfärg6_FAGOR" xfId="440" xr:uid="{A16E3D7E-4873-456A-B22E-628249625313}"/>
    <cellStyle name="60 % – Zvýraznění1" xfId="441" xr:uid="{CBC7CB26-1322-4623-B831-366543985436}"/>
    <cellStyle name="60 % – Zvýraznění1 2" xfId="442" xr:uid="{34E73D21-4C4F-45C6-8D0B-9E74EFBBBB46}"/>
    <cellStyle name="60 % – Zvýraznění1 2 2" xfId="443" xr:uid="{D5627A3D-52D6-469F-A8B8-B4955703BC4B}"/>
    <cellStyle name="60 % – Zvýraznění2" xfId="444" xr:uid="{805A4819-11BC-46A4-9A92-2ED8D6892E60}"/>
    <cellStyle name="60 % – Zvýraznění2 2" xfId="445" xr:uid="{35FF7E3B-4F3D-4184-87FF-A780377B1FD5}"/>
    <cellStyle name="60 % – Zvýraznění2 2 2" xfId="446" xr:uid="{FD5B18F9-CEEB-4EE0-8B4F-891BB764015F}"/>
    <cellStyle name="60 % – Zvýraznění3" xfId="447" xr:uid="{5C489585-5009-4849-ADCD-F94E57935F4E}"/>
    <cellStyle name="60 % – Zvýraznění3 2" xfId="448" xr:uid="{17960373-ED95-4ED1-B585-292AA79375FA}"/>
    <cellStyle name="60 % – Zvýraznění3 2 2" xfId="449" xr:uid="{520DBB72-0A5D-413D-B7F3-8F861A4EDC0C}"/>
    <cellStyle name="60 % – Zvýraznění4" xfId="450" xr:uid="{090791B4-1267-4CA5-B001-8E9F1B39E55C}"/>
    <cellStyle name="60 % – Zvýraznění4 2" xfId="451" xr:uid="{D52455EE-C51F-434D-94B4-A569A8A6495E}"/>
    <cellStyle name="60 % – Zvýraznění4 2 2" xfId="452" xr:uid="{5E7EAC46-ED74-4526-B89A-AF170FCF87B0}"/>
    <cellStyle name="60 % – Zvýraznění5" xfId="453" xr:uid="{9520A591-420B-4134-B9E0-781FEE5FB3F4}"/>
    <cellStyle name="60 % – Zvýraznění5 2" xfId="454" xr:uid="{5483B5EB-1141-4925-9CCF-3D2D2C74C68A}"/>
    <cellStyle name="60 % – Zvýraznění5 2 2" xfId="455" xr:uid="{481F9D52-A92F-44E5-B66B-48799D60FCE9}"/>
    <cellStyle name="60 % – Zvýraznění6" xfId="456" xr:uid="{455443DD-1837-4EC4-84F5-2E6E39866F21}"/>
    <cellStyle name="60 % – Zvýraznění6 2" xfId="457" xr:uid="{84E7A842-624F-4A64-A355-FB5E8AEE616E}"/>
    <cellStyle name="60 % – Zvýraznění6 2 2" xfId="458" xr:uid="{2D94936A-3148-4A8D-8AE7-DD76D307D5B0}"/>
    <cellStyle name="60 % - Accent1" xfId="459" xr:uid="{1B57CF88-BA0E-46EF-9483-9F30827C79FD}"/>
    <cellStyle name="60 % - Accent1 2" xfId="460" xr:uid="{8DCB11C6-4176-495E-96D5-7ABBB4FFEA92}"/>
    <cellStyle name="60 % - Accent1_FAGOR" xfId="461" xr:uid="{3410DA59-B7AD-4D47-AE4B-5F75483A8435}"/>
    <cellStyle name="60 % - Accent2" xfId="462" xr:uid="{A4610D13-68CD-4FD4-B80C-6A75D23402E5}"/>
    <cellStyle name="60 % - Accent2 2" xfId="463" xr:uid="{B034F505-C766-4911-BE0A-78410B1E7CF5}"/>
    <cellStyle name="60 % - Accent2_FAGOR" xfId="464" xr:uid="{FEC3195D-6C14-48F0-BDDD-7291D2EB32D4}"/>
    <cellStyle name="60 % - Accent3" xfId="465" xr:uid="{1C455E57-4798-4F57-B4A5-5F5A1ABE6BED}"/>
    <cellStyle name="60 % - Accent3 2" xfId="466" xr:uid="{6891B2B3-7DCF-4509-960C-C6B20A27D259}"/>
    <cellStyle name="60 % - Accent3_FAGOR" xfId="467" xr:uid="{ECED6302-CD43-48A8-A540-9490319D6FA6}"/>
    <cellStyle name="60 % - Accent4" xfId="468" xr:uid="{3BDF2BA1-6B62-4178-9CA9-1422C5E342A8}"/>
    <cellStyle name="60 % - Accent4 2" xfId="469" xr:uid="{A28BCBDA-2AD9-4A8C-BCEC-E8EB59AB85BA}"/>
    <cellStyle name="60 % - Accent4_FAGOR" xfId="470" xr:uid="{477BB71A-481E-4EDE-80DE-7A548C4752CC}"/>
    <cellStyle name="60 % - Accent5" xfId="471" xr:uid="{1C6D5D01-BDE4-4967-89BC-5E9B061B5928}"/>
    <cellStyle name="60 % - Accent5 2" xfId="472" xr:uid="{AD9D9382-A781-4A37-9182-9BC62A0B2F43}"/>
    <cellStyle name="60 % - Accent5_FAGOR" xfId="473" xr:uid="{BB29A1B5-B294-4911-8D9B-0B320DC55AB0}"/>
    <cellStyle name="60 % - Accent6" xfId="474" xr:uid="{D87B27BF-93BC-41AA-BABC-C4B8BC02B362}"/>
    <cellStyle name="60 % - Accent6 2" xfId="475" xr:uid="{A1DB93F1-267B-4F32-BA20-3A503526F77C}"/>
    <cellStyle name="60 % - Accent6_FAGOR" xfId="476" xr:uid="{A32D680C-65F1-4ACB-A680-C56AE1569EED}"/>
    <cellStyle name="60% - 1. jelölőszín" xfId="477" xr:uid="{66D6011C-8206-4D56-9C11-3791EB368ED3}"/>
    <cellStyle name="60% - 1. jelölőszín 2" xfId="478" xr:uid="{28537401-6BC1-4984-AE83-A6B5DA02FB33}"/>
    <cellStyle name="60% - 2. jelölőszín" xfId="479" xr:uid="{123E05A6-2FBA-42E9-BF46-CC733D47C3D5}"/>
    <cellStyle name="60% - 2. jelölőszín 2" xfId="480" xr:uid="{2F779478-6C2B-4C89-B9FB-B23264FC4E11}"/>
    <cellStyle name="60% - 3. jelölőszín" xfId="481" xr:uid="{32B16998-8751-4F3D-832F-CEEBB49F6F8E}"/>
    <cellStyle name="60% - 3. jelölőszín 2" xfId="482" xr:uid="{67819700-38C6-42B7-A1C9-CD8B497B3C8F}"/>
    <cellStyle name="60% - 4. jelölőszín" xfId="483" xr:uid="{AC59800D-E267-4DE6-9748-B56BBD617233}"/>
    <cellStyle name="60% - 4. jelölőszín 2" xfId="484" xr:uid="{AE6E4EBE-E1D9-49EB-9E69-B0BA6F7B1CE1}"/>
    <cellStyle name="60% - 5. jelölőszín" xfId="485" xr:uid="{8E0A6E1F-3F33-4AE8-AE88-0673DDCF929A}"/>
    <cellStyle name="60% - 5. jelölőszín 2" xfId="486" xr:uid="{EB36A73E-9009-4C6D-8169-22294F2AB356}"/>
    <cellStyle name="60% - 6. jelölőszín" xfId="487" xr:uid="{257F2AF9-E265-4461-8FE1-9B901B49148C}"/>
    <cellStyle name="60% - 6. jelölőszín 2" xfId="488" xr:uid="{5A5F4C29-C005-4597-832E-7CC04519E751}"/>
    <cellStyle name="60% - Accent1" xfId="489" xr:uid="{66200F90-A7B3-4CDA-B0F9-63C19D5A525B}"/>
    <cellStyle name="60% - Accent1 2" xfId="490" xr:uid="{A302063E-561A-4F8D-815E-F93EC973542C}"/>
    <cellStyle name="60% - Accent2" xfId="491" xr:uid="{78F72571-7945-4E83-BAFF-2C2BA002B057}"/>
    <cellStyle name="60% - Accent2 2" xfId="492" xr:uid="{4DEF6070-9087-40F6-9DAB-FCC987B5DAA2}"/>
    <cellStyle name="60% - Accent3" xfId="493" xr:uid="{4AEB4295-D30C-4D6D-A26C-47110AF16A14}"/>
    <cellStyle name="60% - Accent3 2" xfId="494" xr:uid="{68BF2E4A-F38C-4EA3-95CA-6951AD19E806}"/>
    <cellStyle name="60% - Accent4" xfId="495" xr:uid="{50E563CE-DF04-4EFB-BC4C-FD4E711FEDAC}"/>
    <cellStyle name="60% - Accent4 2" xfId="496" xr:uid="{E48682EC-2AC1-43BB-8AFC-03B1431F89AD}"/>
    <cellStyle name="60% - Accent5" xfId="497" xr:uid="{42D88FFD-F62D-477D-86E9-24751433DCDA}"/>
    <cellStyle name="60% - Accent5 2" xfId="498" xr:uid="{85AB0030-B31E-4679-8A44-7F9CDB8EBF2F}"/>
    <cellStyle name="60% - Accent6" xfId="499" xr:uid="{5D2ECAE8-734E-47CE-9BD5-AE24ABD77757}"/>
    <cellStyle name="60% - Accent6 2" xfId="500" xr:uid="{2FD99785-E32B-4AFA-9363-1781DD1D3EDF}"/>
    <cellStyle name="60% — akcent 1" xfId="20" builtinId="32" customBuiltin="1"/>
    <cellStyle name="60% — akcent 1 10" xfId="2324" xr:uid="{1C0F2772-9978-4ADA-BC69-7ED776B14233}"/>
    <cellStyle name="60% — akcent 1 11" xfId="2377" xr:uid="{11BABFE0-44E4-421C-A77E-778BC710077E}"/>
    <cellStyle name="60% - akcent 1 2" xfId="501" xr:uid="{E9DC117A-C048-437F-85AC-B25262021BE0}"/>
    <cellStyle name="60% — akcent 1 2" xfId="2043" xr:uid="{AC52767E-4F3B-45F9-BF58-F90C119C80F0}"/>
    <cellStyle name="60% - akcent 1 3" xfId="502" xr:uid="{37F62739-CF77-47A9-B2F6-9357D4A69C6A}"/>
    <cellStyle name="60% — akcent 1 3" xfId="2068" xr:uid="{D226F557-E24A-4A38-A22C-18EDF0620D3F}"/>
    <cellStyle name="60% - akcent 1 4" xfId="503" xr:uid="{47B90F1A-35BC-4AB6-A189-2E164EBF81CC}"/>
    <cellStyle name="60% — akcent 1 4" xfId="2069" xr:uid="{1ACE2073-BC7C-4A99-BEE7-5E84686F66C1}"/>
    <cellStyle name="60% — akcent 1 5" xfId="2101" xr:uid="{5837A6C3-D666-4A54-9A64-C7F01BC476E1}"/>
    <cellStyle name="60% — akcent 1 6" xfId="2116" xr:uid="{45F754EB-3DA9-421E-A66D-6C3459915C60}"/>
    <cellStyle name="60% — akcent 1 7" xfId="2150" xr:uid="{B702AE22-8608-49B1-B1B2-F9829E705FC7}"/>
    <cellStyle name="60% — akcent 1 8" xfId="2244" xr:uid="{DFB1F6EB-995B-48A3-8760-B556C68F38F7}"/>
    <cellStyle name="60% — akcent 1 9" xfId="2275" xr:uid="{C2DEA1BB-FCAE-4E91-A433-F3B9485D5201}"/>
    <cellStyle name="60% — akcent 2" xfId="24" builtinId="36" customBuiltin="1"/>
    <cellStyle name="60% — akcent 2 10" xfId="2327" xr:uid="{71755B69-A9E8-497E-836A-DC46700C7C28}"/>
    <cellStyle name="60% — akcent 2 11" xfId="2380" xr:uid="{750EA5D2-613E-4CDF-B0BD-6D54529F9ECA}"/>
    <cellStyle name="60% - akcent 2 2" xfId="504" xr:uid="{10957401-D8B2-467D-AE03-DACD06D0A95D}"/>
    <cellStyle name="60% — akcent 2 2" xfId="2046" xr:uid="{0F42A8DD-ADAA-4F78-B8C0-A016B2ECC4A1}"/>
    <cellStyle name="60% - akcent 2 3" xfId="505" xr:uid="{2249D20E-9F68-43F1-8DEF-3A9EAFE13BB1}"/>
    <cellStyle name="60% — akcent 2 3" xfId="2072" xr:uid="{7A088903-89AB-4077-82F0-371EE407164C}"/>
    <cellStyle name="60% - akcent 2 4" xfId="506" xr:uid="{550D2834-1747-4F63-B385-5BE5EFD0F2F6}"/>
    <cellStyle name="60% — akcent 2 4" xfId="2092" xr:uid="{7C422D46-B53C-49F5-BD70-E4C0FC7F4A87}"/>
    <cellStyle name="60% — akcent 2 5" xfId="2081" xr:uid="{057DA78B-1B93-4DFF-AB47-759C6FD5B98B}"/>
    <cellStyle name="60% — akcent 2 6" xfId="2063" xr:uid="{B5D758F3-FEA3-4D86-85D7-DFF05E53C2C7}"/>
    <cellStyle name="60% — akcent 2 7" xfId="2153" xr:uid="{4F8A5726-37A2-4C6E-BB6B-E045E657B80E}"/>
    <cellStyle name="60% — akcent 2 8" xfId="2247" xr:uid="{AF3E5356-5912-490C-94DF-7DFD76E56D57}"/>
    <cellStyle name="60% — akcent 2 9" xfId="2266" xr:uid="{9A8A21C9-B1B6-4047-AA9C-BB9F8A6F88C1}"/>
    <cellStyle name="60% — akcent 3" xfId="28" builtinId="40" customBuiltin="1"/>
    <cellStyle name="60% — akcent 3 10" xfId="2330" xr:uid="{EA651575-4D7A-481B-A053-3756F3C4964C}"/>
    <cellStyle name="60% — akcent 3 11" xfId="2383" xr:uid="{EF377BB7-0E07-41D9-BFC8-40A65F57554F}"/>
    <cellStyle name="60% - akcent 3 2" xfId="507" xr:uid="{A37017E6-921E-4C47-A773-650878E82A54}"/>
    <cellStyle name="60% — akcent 3 2" xfId="2049" xr:uid="{3E86577A-D111-4F46-AF67-500046729C43}"/>
    <cellStyle name="60% - akcent 3 3" xfId="508" xr:uid="{18640EF0-6910-4B6C-B16B-278870719D75}"/>
    <cellStyle name="60% — akcent 3 3" xfId="2076" xr:uid="{674CB2F3-D384-4755-B504-6F9EDCD03520}"/>
    <cellStyle name="60% - akcent 3 4" xfId="509" xr:uid="{18210F95-E1FB-42FC-8CCE-BA68A95B9EF9}"/>
    <cellStyle name="60% — akcent 3 4" xfId="2096" xr:uid="{2B1FF94F-E4DE-413D-8EC6-5F47D6FEA6D4}"/>
    <cellStyle name="60% — akcent 3 5" xfId="2112" xr:uid="{AD58B920-724B-4B1D-9D67-2B2522F39940}"/>
    <cellStyle name="60% — akcent 3 6" xfId="2126" xr:uid="{AD127E04-8E6A-43BB-96B5-79055DE3EFF9}"/>
    <cellStyle name="60% — akcent 3 7" xfId="2156" xr:uid="{7AC12BFC-17B3-4C5B-B585-8FA8377A9A68}"/>
    <cellStyle name="60% — akcent 3 8" xfId="2250" xr:uid="{075905E0-45A1-4A66-A604-0EA7A34DA323}"/>
    <cellStyle name="60% — akcent 3 9" xfId="2264" xr:uid="{4A0946B9-18DC-4EF7-B0F4-C619DEFC5628}"/>
    <cellStyle name="60% — akcent 4" xfId="32" builtinId="44" customBuiltin="1"/>
    <cellStyle name="60% — akcent 4 10" xfId="2333" xr:uid="{3B4474C4-75D3-4CF5-B9D2-1D7D055969A0}"/>
    <cellStyle name="60% — akcent 4 11" xfId="2386" xr:uid="{212305EA-E068-4D4A-94DD-0EDAF43F5287}"/>
    <cellStyle name="60% - akcent 4 2" xfId="510" xr:uid="{04930A09-29DB-4FD8-9ECC-F70DE43CF8C0}"/>
    <cellStyle name="60% — akcent 4 2" xfId="2052" xr:uid="{6E8B4E50-3B01-4F3B-BA22-C96232DB38EB}"/>
    <cellStyle name="60% - akcent 4 3" xfId="511" xr:uid="{F4EDEE46-5E1C-4810-A019-1B5809052006}"/>
    <cellStyle name="60% — akcent 4 3" xfId="2080" xr:uid="{246AE388-3AED-48CB-84CE-A95547BE608E}"/>
    <cellStyle name="60% - akcent 4 4" xfId="512" xr:uid="{B3A92235-23CE-44F5-B846-1EBFC723C6C9}"/>
    <cellStyle name="60% — akcent 4 4" xfId="2100" xr:uid="{6F70335A-3A69-4D22-B5ED-FCB5703BD237}"/>
    <cellStyle name="60% — akcent 4 5" xfId="2115" xr:uid="{729DD2AC-8DDB-426D-97C3-628A66F314A7}"/>
    <cellStyle name="60% — akcent 4 6" xfId="2129" xr:uid="{45A45C75-1753-409F-9196-F2F0A14AED30}"/>
    <cellStyle name="60% — akcent 4 7" xfId="2159" xr:uid="{885A5238-22E1-41CE-B4D8-74CB295CFF98}"/>
    <cellStyle name="60% — akcent 4 8" xfId="2253" xr:uid="{620D1A23-A663-4393-96EA-C1C2F9F3D1C7}"/>
    <cellStyle name="60% — akcent 4 9" xfId="2241" xr:uid="{2C0354A0-786C-4DA5-9D42-1591107939B5}"/>
    <cellStyle name="60% — akcent 5" xfId="36" builtinId="48" customBuiltin="1"/>
    <cellStyle name="60% — akcent 5 10" xfId="2336" xr:uid="{E08C46DF-D9DD-4FE5-B4FE-C927532540DC}"/>
    <cellStyle name="60% — akcent 5 11" xfId="2389" xr:uid="{51F7F179-B91F-43F7-91D4-11654986F9A7}"/>
    <cellStyle name="60% - akcent 5 2" xfId="513" xr:uid="{3AF69A0B-0B96-42F9-A3B7-DE33B044D987}"/>
    <cellStyle name="60% — akcent 5 2" xfId="2055" xr:uid="{0A4FEC52-3FEC-4094-9985-5CA50317846E}"/>
    <cellStyle name="60% - akcent 5 3" xfId="514" xr:uid="{0491CF1E-D2EB-40A1-98A4-48744B158D42}"/>
    <cellStyle name="60% — akcent 5 3" xfId="2084" xr:uid="{A7A944AB-E305-489D-8448-C8AB76503171}"/>
    <cellStyle name="60% - akcent 5 4" xfId="515" xr:uid="{D6721D13-CE96-46A1-939E-D006763C428F}"/>
    <cellStyle name="60% — akcent 5 4" xfId="2104" xr:uid="{1AA997BC-B5D1-40EA-8E68-A3E3E1C29F91}"/>
    <cellStyle name="60% — akcent 5 5" xfId="2119" xr:uid="{C2373746-E1E5-45D1-A1A9-349A1EDAE750}"/>
    <cellStyle name="60% — akcent 5 6" xfId="2132" xr:uid="{F47249DC-2449-4DD8-8648-50F4D21791F9}"/>
    <cellStyle name="60% — akcent 5 7" xfId="2162" xr:uid="{6CCC05B2-006A-4DAA-A263-C5C93D32C21E}"/>
    <cellStyle name="60% — akcent 5 8" xfId="2256" xr:uid="{220D5C6D-0AE4-4265-A368-BFE25DD8180D}"/>
    <cellStyle name="60% — akcent 5 9" xfId="2262" xr:uid="{D25D9C93-334D-4976-8DC3-2D23C43A133D}"/>
    <cellStyle name="60% — akcent 6" xfId="40" builtinId="52" customBuiltin="1"/>
    <cellStyle name="60% — akcent 6 10" xfId="2339" xr:uid="{040BF058-3424-4399-8FA7-03610C3471CA}"/>
    <cellStyle name="60% — akcent 6 11" xfId="2392" xr:uid="{BBDDA032-1A9C-4F14-BAEF-A5998D7CFA51}"/>
    <cellStyle name="60% - akcent 6 2" xfId="516" xr:uid="{9789673D-6B1F-4BBE-9383-2F87B92936FA}"/>
    <cellStyle name="60% — akcent 6 2" xfId="2058" xr:uid="{ADDB83E3-B239-4CEC-9D73-7DB5B9B5B9EE}"/>
    <cellStyle name="60% - akcent 6 3" xfId="517" xr:uid="{E4942DE9-7BF4-40A4-8954-48F70D7876E7}"/>
    <cellStyle name="60% — akcent 6 3" xfId="2087" xr:uid="{1CB918BB-8E3D-431F-A170-062F9F359968}"/>
    <cellStyle name="60% - akcent 6 4" xfId="518" xr:uid="{7AF938F8-2D0E-400D-A804-A31DCC0DD4BC}"/>
    <cellStyle name="60% — akcent 6 4" xfId="2108" xr:uid="{261DB710-0359-4109-A9C8-5A3DCC1103D4}"/>
    <cellStyle name="60% — akcent 6 5" xfId="2123" xr:uid="{0EDB9AEC-23AA-4A2C-BE46-5F8FA88CCC52}"/>
    <cellStyle name="60% — akcent 6 6" xfId="2135" xr:uid="{F2B73476-B2F9-4AE1-94F5-358E51674412}"/>
    <cellStyle name="60% — akcent 6 7" xfId="2165" xr:uid="{AAEAB73D-2FD4-41BB-A88D-DAC555579691}"/>
    <cellStyle name="60% — akcent 6 8" xfId="2259" xr:uid="{F335D3ED-94A7-41D2-B566-F1200F38C0F1}"/>
    <cellStyle name="60% — akcent 6 9" xfId="2268" xr:uid="{1D36FE06-64A1-4C14-B389-37C02ADD435D}"/>
    <cellStyle name="60% - Akzent1" xfId="519" xr:uid="{A1F6B99B-61B8-419D-9561-E1E77DB9082C}"/>
    <cellStyle name="60% - Akzent1 2" xfId="520" xr:uid="{23D3B71F-46D6-4BDB-960C-6D761A0BA436}"/>
    <cellStyle name="60% - Akzent1 3" xfId="521" xr:uid="{34566226-E33C-4721-9AEF-2C7EBAC34F73}"/>
    <cellStyle name="60% - Akzent1_FAGOR" xfId="522" xr:uid="{A6D3734A-DF54-4C2F-8BDA-353E29EB6708}"/>
    <cellStyle name="60% - Akzent2" xfId="523" xr:uid="{EF364305-F004-4B60-8903-4D63D300E7CD}"/>
    <cellStyle name="60% - Akzent2 2" xfId="524" xr:uid="{76B5BDE7-04E2-4E6A-91B3-37F8A438FBED}"/>
    <cellStyle name="60% - Akzent2 3" xfId="525" xr:uid="{F801514E-40F1-4685-88F7-B79AC5496D0D}"/>
    <cellStyle name="60% - Akzent2_FAGOR" xfId="526" xr:uid="{0E78C3A8-F0D1-4F65-9A2D-82712723191E}"/>
    <cellStyle name="60% - Akzent3" xfId="527" xr:uid="{4545CBF6-F221-4A18-BB90-43DBD5EB476C}"/>
    <cellStyle name="60% - Akzent3 2" xfId="528" xr:uid="{3004B988-9429-43EA-9A66-10C51EE06DBF}"/>
    <cellStyle name="60% - Akzent3 3" xfId="529" xr:uid="{9EA7EA3E-B20F-4BF6-8E3E-2D15C21DF7BA}"/>
    <cellStyle name="60% - Akzent3_FAGOR" xfId="530" xr:uid="{E572460E-3AB2-4287-81DE-E34ACAD10B8E}"/>
    <cellStyle name="60% - Akzent4" xfId="531" xr:uid="{C296F103-7EFE-4C57-8581-C1BC6E295E4F}"/>
    <cellStyle name="60% - Akzent4 2" xfId="532" xr:uid="{70AF037F-D28B-4B20-AA45-4D4181A66E85}"/>
    <cellStyle name="60% - Akzent4 3" xfId="533" xr:uid="{101B0DC6-5076-4D49-BB3A-E7A1B6B4DBFE}"/>
    <cellStyle name="60% - Akzent4_FAGOR" xfId="534" xr:uid="{AFE37E7A-1342-4182-863F-330E7CF72D42}"/>
    <cellStyle name="60% - Akzent5" xfId="535" xr:uid="{2C3DEEE0-62BF-4FF4-93C5-EFD49C349BC2}"/>
    <cellStyle name="60% - Akzent5 2" xfId="536" xr:uid="{CAD0DC51-17CD-412B-AE7A-078FA63A0471}"/>
    <cellStyle name="60% - Akzent5 3" xfId="537" xr:uid="{B106E609-FD0F-4F72-BFB8-1BF810004A84}"/>
    <cellStyle name="60% - Akzent5_FAGOR" xfId="538" xr:uid="{0172A3C4-24E2-4B43-9B35-768690FE6D7E}"/>
    <cellStyle name="60% - Akzent6" xfId="539" xr:uid="{24D7902B-F110-4586-9406-3D11C93BFA63}"/>
    <cellStyle name="60% - Akzent6 2" xfId="540" xr:uid="{8D09A6AC-8903-492E-A3D6-382843EB171D}"/>
    <cellStyle name="60% - Akzent6 3" xfId="541" xr:uid="{D4995607-5E78-4B14-BD7A-0D0399276230}"/>
    <cellStyle name="60% - Akzent6_FAGOR" xfId="542" xr:uid="{D63F1435-088E-41FA-995B-AAAEB77D61B7}"/>
    <cellStyle name="60% - Dekorfärg1" xfId="543" xr:uid="{E1786C2E-F8A3-4789-BCFA-B6582D3AF1E4}"/>
    <cellStyle name="60% - Dekorfärg1 2" xfId="544" xr:uid="{DD8EA438-B5EE-4B79-BD7C-0C7A1CDEADED}"/>
    <cellStyle name="60% - Dekorfärg1_FAGOR" xfId="545" xr:uid="{05476B07-FDC3-4C9D-8C36-48A2366C5219}"/>
    <cellStyle name="60% - Dekorfärg2" xfId="546" xr:uid="{A8154429-97B3-4738-9B64-D5F00EA4F837}"/>
    <cellStyle name="60% - Dekorfärg2 2" xfId="547" xr:uid="{71B77731-8920-45BB-9613-A8BCF8D5309A}"/>
    <cellStyle name="60% - Dekorfärg2_FAGOR" xfId="548" xr:uid="{714BB6B3-6422-45C1-964E-6627FE888495}"/>
    <cellStyle name="60% - Dekorfärg3" xfId="549" xr:uid="{0E4DA21B-A833-4395-B694-509F3E3F4FF1}"/>
    <cellStyle name="60% - Dekorfärg3 2" xfId="550" xr:uid="{A3464AD8-B22B-4412-A0BA-A02AA433A5B9}"/>
    <cellStyle name="60% - Dekorfärg3_FAGOR" xfId="551" xr:uid="{14AE8BA9-1D09-4AF0-9B88-AA0D9DA5FDE0}"/>
    <cellStyle name="60% - Dekorfärg4" xfId="552" xr:uid="{38E08354-DEF2-4C60-90BB-9D2E96587B19}"/>
    <cellStyle name="60% - Dekorfärg4 2" xfId="553" xr:uid="{680E69F3-614E-4877-BA13-67B45F945897}"/>
    <cellStyle name="60% - Dekorfärg4_FAGOR" xfId="554" xr:uid="{D8797B4C-D3E2-4CA2-95B5-3F6BE94D36CF}"/>
    <cellStyle name="60% - Dekorfärg5" xfId="555" xr:uid="{456D6A40-2DDF-497B-B20F-B6E9E2764097}"/>
    <cellStyle name="60% - Dekorfärg5 2" xfId="556" xr:uid="{B44E5105-4346-401B-8B74-F00301FB886E}"/>
    <cellStyle name="60% - Dekorfärg5_FAGOR" xfId="557" xr:uid="{69B752B2-FA2D-425B-A274-F6E31627D4D7}"/>
    <cellStyle name="60% - Dekorfärg6" xfId="558" xr:uid="{8EAB8A9F-16CF-406B-A64D-AE3D559A6E6C}"/>
    <cellStyle name="60% - Dekorfärg6 2" xfId="559" xr:uid="{69C806D3-E906-4EEE-8888-FC40949A31C3}"/>
    <cellStyle name="60% - Dekorfärg6_FAGOR" xfId="560" xr:uid="{BC5FA29C-3CEA-4B78-99CF-FEC741ED9E46}"/>
    <cellStyle name="AA" xfId="561" xr:uid="{B429B3FC-648E-40C5-B6CD-95B910259942}"/>
    <cellStyle name="AA 2" xfId="562" xr:uid="{67AB6A37-34FF-4A66-B549-F7B8FA10E29B}"/>
    <cellStyle name="AA 2 2" xfId="563" xr:uid="{514DDBBE-5713-4357-9745-AC8B8C859035}"/>
    <cellStyle name="AA 3" xfId="564" xr:uid="{078111CF-D296-4579-8F13-0B4503F7683F}"/>
    <cellStyle name="AA_FAGOR" xfId="565" xr:uid="{36E19FD4-12B6-4623-A1C7-77331FCE0F84}"/>
    <cellStyle name="Accent1" xfId="566" xr:uid="{A48D042A-DDD2-45A1-81C2-74970D803607}"/>
    <cellStyle name="Accent1 - 20%" xfId="567" xr:uid="{9433FF6B-F654-4328-B7D0-D7AE9865CC75}"/>
    <cellStyle name="Accent1 - 20% 2" xfId="568" xr:uid="{85B9CF59-093D-4BF0-A1C5-2985BADB275D}"/>
    <cellStyle name="Accent1 - 20%_FAGOR" xfId="569" xr:uid="{A777FF3D-0E92-43F7-8687-6585DAA685AB}"/>
    <cellStyle name="Accent1 - 40%" xfId="570" xr:uid="{75A8DEA8-DBC8-44F7-B52A-F1EF118D81DF}"/>
    <cellStyle name="Accent1 - 40% 2" xfId="571" xr:uid="{475A2FF4-4A2F-4709-9833-02DF15A4F4A8}"/>
    <cellStyle name="Accent1 - 40%_FAGOR" xfId="572" xr:uid="{304BF75C-6B4E-4A4B-87D3-73756F135546}"/>
    <cellStyle name="Accent1 - 60%" xfId="573" xr:uid="{F723D77C-ED9E-457D-90E7-922E41A034A6}"/>
    <cellStyle name="Accent1 - 60% 2" xfId="574" xr:uid="{3795A6E6-04FF-4417-8C59-474027A6FE76}"/>
    <cellStyle name="Accent1 - 60%_FAGOR" xfId="575" xr:uid="{23A52D54-EFFA-457B-8847-EDDCE81FBB89}"/>
    <cellStyle name="Accent1 2" xfId="576" xr:uid="{F5205702-431B-4247-8025-F79D21FB53DA}"/>
    <cellStyle name="Accent1_Budget - S&amp;OP Template" xfId="577" xr:uid="{3FA12E1E-8A74-426B-A372-D4D67D12BF5C}"/>
    <cellStyle name="Accent2" xfId="578" xr:uid="{CCAEAF25-AA57-42A4-B8D7-33A8D64128A2}"/>
    <cellStyle name="Accent2 - 20%" xfId="579" xr:uid="{03AEF75A-442A-4A86-8CDC-271C3A3A065A}"/>
    <cellStyle name="Accent2 - 20% 2" xfId="580" xr:uid="{22AC44A9-FFD0-4ED2-AF67-A23B2BA42E89}"/>
    <cellStyle name="Accent2 - 20%_FAGOR" xfId="581" xr:uid="{2767AF0D-5CC4-4FDF-B963-D3B80A3D72BF}"/>
    <cellStyle name="Accent2 - 40%" xfId="582" xr:uid="{C37E1D6C-8342-4D6B-93BD-2E9099AC43C6}"/>
    <cellStyle name="Accent2 - 40% 2" xfId="583" xr:uid="{53FD4E8D-6768-4097-B996-845473B47E28}"/>
    <cellStyle name="Accent2 - 40%_FAGOR" xfId="584" xr:uid="{6DA6C0F8-8210-4689-9224-4040C31CE951}"/>
    <cellStyle name="Accent2 - 60%" xfId="585" xr:uid="{1342F5AF-AF6E-4C31-9FB2-020BFBA001E2}"/>
    <cellStyle name="Accent2 - 60% 2" xfId="586" xr:uid="{743F6311-EB4D-4B47-BD73-DDFF0DF8BF27}"/>
    <cellStyle name="Accent2 - 60%_FAGOR" xfId="587" xr:uid="{29020948-7DB1-4709-BA3D-A6DEF5103D8F}"/>
    <cellStyle name="Accent2 2" xfId="588" xr:uid="{80FE1183-CB9E-4727-9475-C86528154ACC}"/>
    <cellStyle name="Accent2_Budget - S&amp;OP Template" xfId="589" xr:uid="{C0A0D91F-03BE-4038-BBE5-6A3B8AB1A70E}"/>
    <cellStyle name="Accent3" xfId="590" xr:uid="{CCD6A2CD-91ED-4D70-A502-BDE2BA6E7427}"/>
    <cellStyle name="Accent3 - 20%" xfId="591" xr:uid="{7E58A4D4-16E0-48A6-BE97-8854946783E2}"/>
    <cellStyle name="Accent3 - 20% 2" xfId="592" xr:uid="{00AC5360-56F9-42C8-ACF8-D5034B6F922F}"/>
    <cellStyle name="Accent3 - 20%_FAGOR" xfId="593" xr:uid="{93408D3A-CEF2-421A-A02A-838ED1893285}"/>
    <cellStyle name="Accent3 - 40%" xfId="594" xr:uid="{1EE83481-D4B4-4C97-BAB6-ABC511D2A49D}"/>
    <cellStyle name="Accent3 - 40% 2" xfId="595" xr:uid="{6484AE51-B0F4-429B-9475-8F53483994B1}"/>
    <cellStyle name="Accent3 - 40%_FAGOR" xfId="596" xr:uid="{0ED8EE90-68BC-4664-B3C4-B09D9C569A00}"/>
    <cellStyle name="Accent3 - 60%" xfId="597" xr:uid="{699C06DD-76E4-42A3-9AA1-6B4098ABD510}"/>
    <cellStyle name="Accent3 - 60% 2" xfId="598" xr:uid="{3C9E4EC1-3044-4A07-899E-52BD8E736637}"/>
    <cellStyle name="Accent3 - 60%_FAGOR" xfId="599" xr:uid="{F0559610-8F3F-42B0-8577-0AE7791EF535}"/>
    <cellStyle name="Accent3 2" xfId="600" xr:uid="{52D7E9EE-D2EB-48E5-B5B1-85645157636B}"/>
    <cellStyle name="Accent3_Budget - S&amp;OP Template" xfId="601" xr:uid="{5BAB84AC-7A08-4560-9F5A-4937EE4CF976}"/>
    <cellStyle name="Accent4" xfId="602" xr:uid="{B6E478DB-7CE1-4907-9C6D-20A0137B335B}"/>
    <cellStyle name="Accent4 - 20%" xfId="603" xr:uid="{D6ACD3F1-86D8-466B-AD73-0DC2486D4107}"/>
    <cellStyle name="Accent4 - 20% 2" xfId="604" xr:uid="{9D3844CC-A3A5-4EFD-9756-3003FE162744}"/>
    <cellStyle name="Accent4 - 20%_FAGOR" xfId="605" xr:uid="{333B52BF-A590-41D2-99AD-762992BF567E}"/>
    <cellStyle name="Accent4 - 40%" xfId="606" xr:uid="{0DE8DC59-3058-4CB2-92D3-9A882A3EA98D}"/>
    <cellStyle name="Accent4 - 40% 2" xfId="607" xr:uid="{F65D8374-E490-45D1-B044-DE166F838FD9}"/>
    <cellStyle name="Accent4 - 40%_FAGOR" xfId="608" xr:uid="{1BF45788-AEA7-4BA7-9230-458AE68A7F79}"/>
    <cellStyle name="Accent4 - 60%" xfId="609" xr:uid="{AFFE3A17-87FC-441C-9584-73B881F31368}"/>
    <cellStyle name="Accent4 - 60% 2" xfId="610" xr:uid="{44EDA0E2-5C12-4473-A99A-BF1AB1F7B617}"/>
    <cellStyle name="Accent4 - 60%_FAGOR" xfId="611" xr:uid="{2DCC9CB4-38FD-4316-8E3B-BB84F85B72B3}"/>
    <cellStyle name="Accent4 2" xfId="612" xr:uid="{DC10F9F3-CBFA-4371-B057-0FC825A3E66F}"/>
    <cellStyle name="Accent4_Budget - S&amp;OP Template" xfId="613" xr:uid="{B0BD66BF-2395-4260-958B-C3AEB0CBAA6E}"/>
    <cellStyle name="Accent5" xfId="614" xr:uid="{129AC23B-E94F-4380-A2B5-15E3858A9FCB}"/>
    <cellStyle name="Accent5 - 20%" xfId="615" xr:uid="{1298DED3-E5B9-4581-9B75-EB7C1C8C0423}"/>
    <cellStyle name="Accent5 - 20% 2" xfId="616" xr:uid="{4303A224-E060-4F78-A93C-C5F3CB424135}"/>
    <cellStyle name="Accent5 - 20%_FAGOR" xfId="617" xr:uid="{EEDB1A67-6499-4EF8-9B82-A4E8F28231DA}"/>
    <cellStyle name="Accent5 - 40%" xfId="618" xr:uid="{541E9764-C173-4C5E-863D-16DF0E9F14F5}"/>
    <cellStyle name="Accent5 - 40% 2" xfId="619" xr:uid="{150A31DE-75B1-43EE-B1A0-83BD2B2F0BC4}"/>
    <cellStyle name="Accent5 - 40%_FAGOR" xfId="620" xr:uid="{6B9BFE02-E3B8-46C9-8747-5FB4592106A4}"/>
    <cellStyle name="Accent5 - 60%" xfId="621" xr:uid="{3BB279EC-68F2-40DE-8DE3-482796A944E6}"/>
    <cellStyle name="Accent5 - 60% 2" xfId="622" xr:uid="{14F8312C-255E-47D6-982D-277AC3F0AD08}"/>
    <cellStyle name="Accent5 - 60%_FAGOR" xfId="623" xr:uid="{F026D89C-F7C8-40BD-ADC5-F79A0D32DCB0}"/>
    <cellStyle name="Accent5 2" xfId="624" xr:uid="{A08C552D-BCA9-4C2E-A891-F43A2CA1189A}"/>
    <cellStyle name="Accent5_Budget - S&amp;OP Template" xfId="625" xr:uid="{72833510-AB52-46F3-9CC4-49613BFACD3E}"/>
    <cellStyle name="Accent6" xfId="626" xr:uid="{E2641BEA-E0CB-4B2D-81E5-5F4F4B826D31}"/>
    <cellStyle name="Accent6 - 20%" xfId="627" xr:uid="{22DF0614-ED73-4819-9755-FB1FCF1D44A1}"/>
    <cellStyle name="Accent6 - 20% 2" xfId="628" xr:uid="{22BBB95B-2824-48BE-A10F-8F743DFF9BC1}"/>
    <cellStyle name="Accent6 - 20%_FAGOR" xfId="629" xr:uid="{FFE7AF96-D248-4A0C-9E38-05293A8058DC}"/>
    <cellStyle name="Accent6 - 40%" xfId="630" xr:uid="{38D5467C-358F-42A8-91CB-D1BE679A59E1}"/>
    <cellStyle name="Accent6 - 40% 2" xfId="631" xr:uid="{60903FD3-936F-405F-A0B5-B70C60D6B8D3}"/>
    <cellStyle name="Accent6 - 40%_FAGOR" xfId="632" xr:uid="{59A71DD1-DF5B-4B94-846F-1A9C9FBF2FEF}"/>
    <cellStyle name="Accent6 - 60%" xfId="633" xr:uid="{714B68E8-FD84-4DEC-BC8D-B16A814C8524}"/>
    <cellStyle name="Accent6 - 60% 2" xfId="634" xr:uid="{DF498E11-E4D4-440E-A772-B9A1CE6A7BCE}"/>
    <cellStyle name="Accent6 - 60%_FAGOR" xfId="635" xr:uid="{B4715821-5590-4CB7-BC65-749D8F308C26}"/>
    <cellStyle name="Accent6 2" xfId="636" xr:uid="{98738717-87AD-4967-BBC7-37C6E9E05A4C}"/>
    <cellStyle name="Accent6_Budget - S&amp;OP Template" xfId="637" xr:uid="{9B2D9A68-015F-49B1-BEAD-0833C3C624D5}"/>
    <cellStyle name="Actual Date" xfId="638" xr:uid="{B8F83617-A015-4337-A8A2-BA5549C052B4}"/>
    <cellStyle name="Akcent 1" xfId="17" builtinId="29" customBuiltin="1"/>
    <cellStyle name="Akcent 1 2" xfId="639" xr:uid="{27C2237F-AD25-49A8-B4A0-8BD261211338}"/>
    <cellStyle name="Akcent 1 2 2" xfId="2175" xr:uid="{B1D475BB-2AF4-47F8-AC91-544678BBC9A8}"/>
    <cellStyle name="Akcent 1 3" xfId="640" xr:uid="{121D6105-FD89-4160-8B83-F6D43E3036BC}"/>
    <cellStyle name="Akcent 1 4" xfId="641" xr:uid="{7B98B2E9-C1BA-488D-8C45-25F97269FD61}"/>
    <cellStyle name="Akcent 2" xfId="21" builtinId="33" customBuiltin="1"/>
    <cellStyle name="Akcent 2 2" xfId="642" xr:uid="{1A90F924-B9F6-4539-AE95-CCF7AB2362F8}"/>
    <cellStyle name="Akcent 2 2 2" xfId="2176" xr:uid="{2C09081F-1B79-4914-93FF-952E960779D7}"/>
    <cellStyle name="Akcent 2 3" xfId="643" xr:uid="{B00E45B3-D206-4B11-B158-31FBAA71ADF0}"/>
    <cellStyle name="Akcent 2 4" xfId="644" xr:uid="{B3C26FBB-9263-4B5F-842B-36F89C95E3D7}"/>
    <cellStyle name="Akcent 3" xfId="25" builtinId="37" customBuiltin="1"/>
    <cellStyle name="Akcent 3 2" xfId="645" xr:uid="{88A5D2C2-6CAE-4DA1-AD4F-5AEB530DD43D}"/>
    <cellStyle name="Akcent 3 2 2" xfId="2177" xr:uid="{59D33508-107A-4C4A-B45E-1E2FB3EBFAA4}"/>
    <cellStyle name="Akcent 3 3" xfId="646" xr:uid="{DC640CB2-929A-48FC-A6A8-5098D3883041}"/>
    <cellStyle name="Akcent 3 4" xfId="647" xr:uid="{6050B568-9BD1-46B2-AB2F-4C09212A7268}"/>
    <cellStyle name="Akcent 4" xfId="29" builtinId="41" customBuiltin="1"/>
    <cellStyle name="Akcent 4 2" xfId="648" xr:uid="{6342281D-F790-4108-845E-41992D4766AD}"/>
    <cellStyle name="Akcent 4 2 2" xfId="2178" xr:uid="{1487A4AD-22F8-4FCD-BC8C-AD032FF16DA2}"/>
    <cellStyle name="Akcent 4 3" xfId="649" xr:uid="{FDFE1709-C3DB-41A6-9B2F-1880DC7DB33E}"/>
    <cellStyle name="Akcent 4 4" xfId="650" xr:uid="{13BD8C05-6DC1-4092-B8BC-C665EBDD9193}"/>
    <cellStyle name="Akcent 5" xfId="33" builtinId="45" customBuiltin="1"/>
    <cellStyle name="Akcent 5 2" xfId="651" xr:uid="{43F1820D-FE82-4E46-99A2-B1ADD27285B5}"/>
    <cellStyle name="Akcent 5 2 2" xfId="2179" xr:uid="{C03AABF6-41E3-4300-801D-F6E7C68B8D25}"/>
    <cellStyle name="Akcent 5 3" xfId="652" xr:uid="{D2F1FF97-AF6A-4178-A257-F0FF634ADFEC}"/>
    <cellStyle name="Akcent 5 4" xfId="653" xr:uid="{A2DD5225-14EA-4338-A12B-14891C5C0CA5}"/>
    <cellStyle name="Akcent 6" xfId="37" builtinId="49" customBuiltin="1"/>
    <cellStyle name="Akcent 6 2" xfId="654" xr:uid="{7EFF2CED-602B-4BA6-9174-374BA52696E4}"/>
    <cellStyle name="Akcent 6 2 2" xfId="2180" xr:uid="{B78B3DE8-9BA6-4728-AC61-EDD61F069A51}"/>
    <cellStyle name="Akcent 6 3" xfId="655" xr:uid="{CD474F3F-AA61-4C3E-A4E8-B1F6AB61CE17}"/>
    <cellStyle name="Akcent 6 4" xfId="656" xr:uid="{30FBCCF2-E1C1-489F-A93D-3A9874A4B035}"/>
    <cellStyle name="Akzent1" xfId="657" xr:uid="{973A739C-E2F9-41D2-9CCA-775393129AF7}"/>
    <cellStyle name="Akzent1 2" xfId="658" xr:uid="{F8F461CE-44A4-435D-9DC4-B13511A9A244}"/>
    <cellStyle name="Akzent1 3" xfId="659" xr:uid="{F1041866-37B8-433F-924B-E7D258406D15}"/>
    <cellStyle name="Akzent1_FAGOR" xfId="660" xr:uid="{6D3DB1AE-56E8-4AA9-BD20-47735CF4885B}"/>
    <cellStyle name="Akzent2" xfId="661" xr:uid="{2F3C006E-B480-4443-B0A5-B1BA4BE272AB}"/>
    <cellStyle name="Akzent2 2" xfId="662" xr:uid="{8915A103-9AF2-4275-BC40-E6F6E7B78EBC}"/>
    <cellStyle name="Akzent2 3" xfId="663" xr:uid="{4604A8A6-7F87-44B5-8863-696CE0091ACE}"/>
    <cellStyle name="Akzent2_FAGOR" xfId="664" xr:uid="{A402AFFD-BD84-4E92-8612-FB236D96D08C}"/>
    <cellStyle name="Akzent3" xfId="665" xr:uid="{01B6C442-F761-409C-B8B0-4A27125731B4}"/>
    <cellStyle name="Akzent3 2" xfId="666" xr:uid="{6140940B-565D-4FA9-BD43-19D6B9619A41}"/>
    <cellStyle name="Akzent3 3" xfId="667" xr:uid="{DDB58E82-931F-40DE-97CE-146027A357D7}"/>
    <cellStyle name="Akzent3_FAGOR" xfId="668" xr:uid="{15297A4D-7949-4991-9FAC-C76DC7201CDD}"/>
    <cellStyle name="Akzent4" xfId="669" xr:uid="{B62D8FCD-0D7C-4059-9E03-181BB7B0EBC6}"/>
    <cellStyle name="Akzent4 2" xfId="670" xr:uid="{04FA39DA-EDF2-4FA1-AB31-A4A2EFF14BB6}"/>
    <cellStyle name="Akzent4 3" xfId="671" xr:uid="{388E69B9-77AA-46CB-B663-A58C0F65AA7E}"/>
    <cellStyle name="Akzent4_FAGOR" xfId="672" xr:uid="{952C21C4-45C8-444B-BAD7-A2325CCA9977}"/>
    <cellStyle name="Akzent5" xfId="673" xr:uid="{B815B7EA-01EF-4D18-908C-51D044E0DF5E}"/>
    <cellStyle name="Akzent5 2" xfId="674" xr:uid="{4B8D8E17-C605-4D2F-BCED-ABA8D29509AF}"/>
    <cellStyle name="Akzent5 3" xfId="675" xr:uid="{6F01D7D3-E936-4F4C-AA0F-8C23BC4EBFD4}"/>
    <cellStyle name="Akzent5_FAGOR" xfId="676" xr:uid="{F3F7B173-C867-4F67-A50F-4293016950D0}"/>
    <cellStyle name="Akzent6" xfId="677" xr:uid="{F3AA94CB-0955-4AC5-9900-C57EB4A69203}"/>
    <cellStyle name="Akzent6 2" xfId="678" xr:uid="{78EFF729-48C5-4901-BB32-A540035C8517}"/>
    <cellStyle name="Akzent6 3" xfId="679" xr:uid="{9C70D1B0-96C1-4A5B-BFF1-369DE50FB325}"/>
    <cellStyle name="Akzent6_FAGOR" xfId="680" xr:uid="{C5CF4749-A007-4BED-B11D-EFC48AD08D3B}"/>
    <cellStyle name="Anteckning" xfId="681" xr:uid="{008A0E34-81EB-4DA1-A973-61DB153EFB4B}"/>
    <cellStyle name="Anteckning 2" xfId="682" xr:uid="{D9CF7601-16CE-43C9-920B-DFEEBB1F57CB}"/>
    <cellStyle name="Anteckning 2 2" xfId="683" xr:uid="{8E7B284A-B315-4ADB-B81E-79EEC67682A6}"/>
    <cellStyle name="Anteckning 2 2 2" xfId="684" xr:uid="{5C8645BD-810A-452C-95E2-9FEF331057DB}"/>
    <cellStyle name="Anteckning 2 3" xfId="685" xr:uid="{DC4A95B9-9E46-42A2-8A58-3FCD9E4B3496}"/>
    <cellStyle name="Anteckning 3" xfId="686" xr:uid="{6E513A22-4DCE-460B-BBE1-F0FFBA7E4022}"/>
    <cellStyle name="Anteckning 3 2" xfId="687" xr:uid="{3F13B412-8112-4E85-8536-80A6C51E1DF9}"/>
    <cellStyle name="Anteckning 4" xfId="688" xr:uid="{2FFA2A22-3BD5-4BBF-AD71-63CBEF5E176A}"/>
    <cellStyle name="args.style" xfId="689" xr:uid="{6AD0E0D6-73ED-41BA-9206-27E1F936677D}"/>
    <cellStyle name="args.style 2" xfId="690" xr:uid="{A53DBD61-6372-4E34-B58D-73497841D7D5}"/>
    <cellStyle name="args.style_R1+ R2" xfId="691" xr:uid="{FA8837B9-64ED-44A0-BD81-6C552F2A6932}"/>
    <cellStyle name="Ausgabe" xfId="692" xr:uid="{1A512E67-C876-440B-B1C9-24DC7902F69F}"/>
    <cellStyle name="Ausgabe 2" xfId="693" xr:uid="{FFFB8317-2BDE-45B0-A70C-2A3B6038B75D}"/>
    <cellStyle name="Ausgabe 3" xfId="694" xr:uid="{02DC353D-8097-4743-B749-4B78F358870F}"/>
    <cellStyle name="Ausgabe_FAGOR" xfId="695" xr:uid="{67957C3C-538B-4EA0-AC1A-110B01FF9E37}"/>
    <cellStyle name="Avertissement" xfId="696" xr:uid="{0FFB0EDA-0957-4014-B0CF-F9DE91C39CF8}"/>
    <cellStyle name="Avertissement 2" xfId="697" xr:uid="{A2182C88-D148-489E-997B-185483111039}"/>
    <cellStyle name="Avertissement_FAGOR" xfId="698" xr:uid="{05BD7939-A01D-4F95-AC01-F6A3F8E13E64}"/>
    <cellStyle name="Bad" xfId="699" xr:uid="{3D5246B4-68FC-463D-A538-AA84D370D617}"/>
    <cellStyle name="Bad 2" xfId="700" xr:uid="{3D5D4486-5ECB-4F3E-8B18-0A491F0812E6}"/>
    <cellStyle name="Beräkning" xfId="701" xr:uid="{D636F086-D71E-46E2-9717-1B2CDB02B93A}"/>
    <cellStyle name="Beräkning 2" xfId="702" xr:uid="{A127D0AF-E6CE-4EEB-A997-6F3EA6D505C3}"/>
    <cellStyle name="Beräkning_FAGOR" xfId="703" xr:uid="{788E2342-3F34-4CD1-AA66-EBA7919F431F}"/>
    <cellStyle name="Berechnung" xfId="704" xr:uid="{EFBBA2E2-68A3-46B1-90C7-656DCBF07CE5}"/>
    <cellStyle name="Berechnung 2" xfId="705" xr:uid="{D269C099-1A7D-433E-9D1B-A8A5D71E8F3D}"/>
    <cellStyle name="Berechnung 3" xfId="706" xr:uid="{5B8D9FAE-EE32-4A0A-A4C8-24CC7D0236D3}"/>
    <cellStyle name="Berechnung_FAGOR" xfId="707" xr:uid="{B7501118-1481-4ED8-A932-CCC5C1A4B1F0}"/>
    <cellStyle name="Bevitel" xfId="708" xr:uid="{63421C04-A0C9-4FF7-8682-D4CD3A1BEB3F}"/>
    <cellStyle name="Bevitel 2" xfId="709" xr:uid="{EC77948D-B73A-418C-BAD9-C1582CA7715B}"/>
    <cellStyle name="Body" xfId="710" xr:uid="{364AF5B8-6368-4CFF-8A65-792E870AEB8F}"/>
    <cellStyle name="Body 2" xfId="711" xr:uid="{25B1DF26-2209-42A5-B653-3BAF80D843C4}"/>
    <cellStyle name="Body_FAGOR" xfId="712" xr:uid="{2CF8C9AB-0717-4789-9927-C31BE6E92671}"/>
    <cellStyle name="Border" xfId="713" xr:uid="{9C84D3C6-709D-4731-BC96-15DEBD136983}"/>
    <cellStyle name="Bra" xfId="714" xr:uid="{7AC16418-210B-4A74-A3BA-A6BADD8025A2}"/>
    <cellStyle name="Bra 2" xfId="715" xr:uid="{F8FD121C-E47A-421C-AF5E-647561DCB582}"/>
    <cellStyle name="Bra_FAGOR" xfId="716" xr:uid="{A06BC2EF-EAF1-497C-BE93-F8D7BCDB1D58}"/>
    <cellStyle name="Calc Currency (0)" xfId="717" xr:uid="{48530EB5-0F68-4527-AE92-3FC7AF4E1CAD}"/>
    <cellStyle name="Calc Currency (0) 2" xfId="718" xr:uid="{F2D0D705-907D-4F77-9918-41223520B74D}"/>
    <cellStyle name="Calc Currency (0) 2 2" xfId="719" xr:uid="{DE6E4370-8F68-4962-9D93-2CC8E6784031}"/>
    <cellStyle name="Calc Currency (0) 3" xfId="720" xr:uid="{54709325-8290-4E4F-9EDE-7C396B4971AD}"/>
    <cellStyle name="Calc Currency (0)_FAGOR" xfId="721" xr:uid="{F920685A-50A7-4332-A8E6-984D4F3739AC}"/>
    <cellStyle name="Calc Units (2)" xfId="722" xr:uid="{77582A6A-7AEE-499D-BDD0-F54A089A430B}"/>
    <cellStyle name="Calc Units (2) 2" xfId="723" xr:uid="{D994967B-1573-4D6E-9712-87F8045920A2}"/>
    <cellStyle name="Calc Units (2) 2 2" xfId="724" xr:uid="{495E9C7D-8B09-4E5C-900D-C25064DB9D8B}"/>
    <cellStyle name="Calc Units (2) 3" xfId="725" xr:uid="{D8DCE533-C4E1-459B-95E2-9E9E4241855C}"/>
    <cellStyle name="Calc Units (2)_FAGOR" xfId="726" xr:uid="{367CE9DE-4C65-492B-9D23-CB0D5F2E0F7D}"/>
    <cellStyle name="Calcul" xfId="727" xr:uid="{DD4D9F22-6F5F-4C39-A306-44CAB1A559E6}"/>
    <cellStyle name="Calcul 2" xfId="728" xr:uid="{F97A03B1-CFA5-436B-8FC1-83F0AC382E34}"/>
    <cellStyle name="Calcul_FAGOR" xfId="729" xr:uid="{C8C4D00F-E606-435A-9E8A-AB7AC608CD7B}"/>
    <cellStyle name="Calculation" xfId="730" xr:uid="{633EF035-EE94-43E4-AC54-FF7773D4EA8E}"/>
    <cellStyle name="Calculation 2" xfId="731" xr:uid="{203709A4-245A-48A2-84A5-94907E6ADDB8}"/>
    <cellStyle name="category" xfId="732" xr:uid="{D418AE38-8E03-4823-8092-123B0688B044}"/>
    <cellStyle name="category 2" xfId="733" xr:uid="{136D3722-E56C-4B12-A2C5-A93256BD0426}"/>
    <cellStyle name="category_FAGOR" xfId="734" xr:uid="{8B9DFA1C-850C-4261-B064-44E1E8C8F826}"/>
    <cellStyle name="cc1" xfId="735" xr:uid="{A6F4F0F9-71B1-40E0-ADBD-4660044F5A6D}"/>
    <cellStyle name="cc2" xfId="736" xr:uid="{3D580939-EEE3-488A-A808-D340B9B99365}"/>
    <cellStyle name="cc3" xfId="737" xr:uid="{B7CD4057-5089-439F-9371-7B0288D4C168}"/>
    <cellStyle name="Celkem" xfId="738" xr:uid="{A74AACDD-DB4B-43B3-A70E-44311DF84B35}"/>
    <cellStyle name="Celkem 2" xfId="739" xr:uid="{96AD1EFC-470C-40E3-8861-D133A65562C5}"/>
    <cellStyle name="Celkem 2 2" xfId="740" xr:uid="{6AE63339-3547-424C-B805-5B838A760AC3}"/>
    <cellStyle name="Celkem 2 2 2" xfId="741" xr:uid="{BAC4610E-5DED-4E26-AAF9-6A4FC6D1E627}"/>
    <cellStyle name="Celkem 2 3" xfId="742" xr:uid="{D2C6FEAD-EA1C-4857-8C10-C49629473D4A}"/>
    <cellStyle name="Celkem 3" xfId="743" xr:uid="{9E1A8EE6-B7F4-4623-85EF-FE1F07BB2853}"/>
    <cellStyle name="Cellule liée" xfId="744" xr:uid="{C9019017-4A96-4C89-8BBE-4760AAF87B62}"/>
    <cellStyle name="Cellule liée 2" xfId="745" xr:uid="{C546D2BE-4596-4677-B311-D6148BD882BC}"/>
    <cellStyle name="Cellule liée_FAGOR" xfId="746" xr:uid="{9CE89780-B392-4C98-AB45-2C13FAA63D98}"/>
    <cellStyle name="Check Cell" xfId="747" xr:uid="{AF7E70BE-7A6F-4402-AA3E-53B30ED79B0D}"/>
    <cellStyle name="Check Cell 2" xfId="748" xr:uid="{5AE4E7C5-C294-47AA-BCD4-EE0AF48B9D0A}"/>
    <cellStyle name="Chybně" xfId="749" xr:uid="{5DEEA9D9-6996-4F38-A649-4C172A489E7B}"/>
    <cellStyle name="Chybně 2" xfId="750" xr:uid="{AB66DA35-8A1B-451B-A63B-841A89BFC0A3}"/>
    <cellStyle name="Chybně 2 2" xfId="751" xr:uid="{BF5880A5-86A1-4519-95EB-67D0222C4246}"/>
    <cellStyle name="Cím" xfId="752" xr:uid="{F3FBD4CB-0F43-4444-9BC6-9E91A13F41A0}"/>
    <cellStyle name="Cím 2" xfId="753" xr:uid="{759FBCD6-0591-4A4D-95A0-AF7AD40BE2AE}"/>
    <cellStyle name="Címsor 1" xfId="754" xr:uid="{06550A7F-D58B-4EEA-A397-B3825B9E4BC2}"/>
    <cellStyle name="Címsor 1 2" xfId="755" xr:uid="{9138BAFC-4B74-45B6-9B74-6C42978F7040}"/>
    <cellStyle name="Címsor 2" xfId="756" xr:uid="{0FBA7FD0-157B-41F8-B99D-83BE35AA9429}"/>
    <cellStyle name="Címsor 2 2" xfId="757" xr:uid="{7FFBF0E0-2561-4E86-BC82-7C0B038518D6}"/>
    <cellStyle name="Címsor 3" xfId="758" xr:uid="{9F2188EF-0ACD-4FF1-AFA9-7583295424C4}"/>
    <cellStyle name="Címsor 3 2" xfId="759" xr:uid="{78C99462-16BE-4B0A-8ABE-E5ECA98AB7EE}"/>
    <cellStyle name="Címsor 4" xfId="760" xr:uid="{98DF3151-83B9-44B2-B9E5-6A76AF5554B6}"/>
    <cellStyle name="Címsor 4 2" xfId="761" xr:uid="{FC6E5FAE-6F7C-4752-B710-ABC18046255E}"/>
    <cellStyle name="CN334" xfId="762" xr:uid="{ACF75CFE-8D2D-48D8-9F96-6C64A9C19DE9}"/>
    <cellStyle name="cn442" xfId="763" xr:uid="{1F09A0B7-F261-414B-85C7-434DAA8BEE5F}"/>
    <cellStyle name="Column_Title" xfId="764" xr:uid="{EEA872EC-31C7-4E42-9327-B68FFF2DFD5E}"/>
    <cellStyle name="Comma  - Style1" xfId="765" xr:uid="{4D4E0F17-9076-4DC0-A5D4-825D64DC16E8}"/>
    <cellStyle name="Comma  - Style2" xfId="766" xr:uid="{F4983EDC-812F-4932-915A-CD5D008D28D0}"/>
    <cellStyle name="Comma  - Style3" xfId="767" xr:uid="{6AB6EAB8-11AD-46FE-9ECF-CD25716D9378}"/>
    <cellStyle name="Comma  - Style4" xfId="768" xr:uid="{58806A4C-3C0D-40AC-A64A-DFEEB7089CB8}"/>
    <cellStyle name="Comma  - Style5" xfId="769" xr:uid="{18D7FAFC-20E8-48F2-B923-B6E7573B0C3A}"/>
    <cellStyle name="Comma  - Style6" xfId="770" xr:uid="{77946572-776C-4BCD-8B20-563B884F8455}"/>
    <cellStyle name="Comma  - Style7" xfId="771" xr:uid="{CD8824D1-3DB9-4396-8A1D-5C6FF0B4889C}"/>
    <cellStyle name="Comma  - Style8" xfId="772" xr:uid="{AA8C0C28-D576-42C4-835A-B1D2B89AC72B}"/>
    <cellStyle name="Comma [00]" xfId="773" xr:uid="{6490B877-B51E-41D8-8270-A71DE0C27174}"/>
    <cellStyle name="Comma [00] 2" xfId="774" xr:uid="{F4927D73-52F7-4284-96E3-AA9B0039080F}"/>
    <cellStyle name="Comma [00] 2 2" xfId="775" xr:uid="{6CBEE624-FBEF-4817-B4C0-8DA92146219B}"/>
    <cellStyle name="Comma [00] 3" xfId="776" xr:uid="{F7A795C4-EBAD-4E84-AE43-E1ADF04C6EE0}"/>
    <cellStyle name="Comma 2" xfId="777" xr:uid="{CE7D8C57-8A08-4D5D-AD22-014B260FD31A}"/>
    <cellStyle name="Comma 2 2" xfId="778" xr:uid="{F60284D5-A773-4892-BD89-A41731A51BFB}"/>
    <cellStyle name="Comma_Budget2010_Template_24_07_2009" xfId="779" xr:uid="{290BC6B2-FCDA-4A4F-9BB1-1BA87ECAB9FA}"/>
    <cellStyle name="Comma0" xfId="780" xr:uid="{DFFA0F31-AFC5-4422-9D7D-DC4B04F96782}"/>
    <cellStyle name="Comma0 - Style2" xfId="781" xr:uid="{19A7A304-DB22-45EC-801F-382BBA5F5602}"/>
    <cellStyle name="Comma0 - Style2 2" xfId="782" xr:uid="{E1B911FE-F6F5-46FA-B90E-249DEB748563}"/>
    <cellStyle name="Comma0 - Style2_FAGOR" xfId="783" xr:uid="{5F122054-6ACE-4593-B12D-0B48BD00CD13}"/>
    <cellStyle name="Comma0 - Style4" xfId="784" xr:uid="{3772C752-BD68-44AB-AFB3-43B4423D47F6}"/>
    <cellStyle name="Comma0 - Style4 2" xfId="785" xr:uid="{D23E1260-C574-4339-8A8A-765A29D533D0}"/>
    <cellStyle name="Comma0 - Style4_FAGOR" xfId="786" xr:uid="{8A52FF9F-82F8-41EB-9B63-86619027DC90}"/>
    <cellStyle name="Comma0 10" xfId="787" xr:uid="{38206853-84C5-4D2B-904C-FBD13AB34F65}"/>
    <cellStyle name="Comma0 10 2" xfId="788" xr:uid="{FB6C3E9A-4721-4790-9954-068A90227E07}"/>
    <cellStyle name="Comma0 11" xfId="789" xr:uid="{E4DF8E9E-1FF9-4E3E-AA31-193BD1C826D4}"/>
    <cellStyle name="Comma0 11 2" xfId="790" xr:uid="{CEE33D61-7445-4FAA-A8DF-CC574F112A63}"/>
    <cellStyle name="Comma0 12" xfId="791" xr:uid="{EF099392-6088-4B23-BC90-B56C42C1CD38}"/>
    <cellStyle name="Comma0 12 2" xfId="792" xr:uid="{1D2533A2-104B-4420-85C2-6AE402712E61}"/>
    <cellStyle name="Comma0 13" xfId="793" xr:uid="{3AD02ABD-D46C-4D84-B574-862A8B2A339C}"/>
    <cellStyle name="Comma0 13 2" xfId="794" xr:uid="{AA237250-222A-4A56-B35F-72FCC95F16A5}"/>
    <cellStyle name="Comma0 14" xfId="795" xr:uid="{D3580C3D-0585-41C7-A02A-80CD16995863}"/>
    <cellStyle name="Comma0 14 2" xfId="796" xr:uid="{8E247590-B97E-41DF-A248-27EDE001D62A}"/>
    <cellStyle name="Comma0 15" xfId="797" xr:uid="{6820BE3E-D20E-4E6F-A45D-E2F0C75E1DEE}"/>
    <cellStyle name="Comma0 15 2" xfId="798" xr:uid="{4C9ED870-2015-424B-94F1-AA0361ABFF78}"/>
    <cellStyle name="Comma0 16" xfId="799" xr:uid="{7867C15E-7D8E-401D-8D82-BE9D6E2A63B2}"/>
    <cellStyle name="Comma0 16 2" xfId="800" xr:uid="{FA6AD0C9-98B7-45D8-AAAA-78A2BA4B793A}"/>
    <cellStyle name="Comma0 17" xfId="801" xr:uid="{C9F012BE-E1C1-4DAD-B9ED-80CEC302F6B0}"/>
    <cellStyle name="Comma0 17 2" xfId="802" xr:uid="{AF3B88DB-8F5E-473F-9CFB-63CC3B0A8DF6}"/>
    <cellStyle name="Comma0 18" xfId="803" xr:uid="{B6030B6C-B01F-439A-BF80-107F901EB6A8}"/>
    <cellStyle name="Comma0 18 2" xfId="804" xr:uid="{AC73B0E9-9A29-4054-95E5-17DEECDE6EDF}"/>
    <cellStyle name="Comma0 19" xfId="805" xr:uid="{52733104-3743-4EFA-BBE5-3B1724C80FD7}"/>
    <cellStyle name="Comma0 19 2" xfId="806" xr:uid="{3849AB5C-AC80-45E0-ACFE-6982DAC76D9B}"/>
    <cellStyle name="Comma0 2" xfId="807" xr:uid="{52F7CDCE-52C1-4115-86C1-5BFFE91CBC20}"/>
    <cellStyle name="Comma0 2 2" xfId="808" xr:uid="{CF43B7EA-705C-4C3F-B20B-5F9CA9717696}"/>
    <cellStyle name="Comma0 20" xfId="809" xr:uid="{2B2FF8D2-D0E6-4EAD-8FCA-CE9D4C9342EB}"/>
    <cellStyle name="Comma0 20 2" xfId="810" xr:uid="{10ECC6ED-EB77-4DB0-8302-544403D8752D}"/>
    <cellStyle name="Comma0 21" xfId="811" xr:uid="{B8ED383B-3AD4-40F9-9E88-BB842D51ED92}"/>
    <cellStyle name="Comma0 21 2" xfId="812" xr:uid="{31A2425B-F50D-4734-9D22-C8989E4181EC}"/>
    <cellStyle name="Comma0 22" xfId="813" xr:uid="{33A69C7D-DD8D-4BE1-960C-68BBE0D5C49D}"/>
    <cellStyle name="Comma0 22 2" xfId="814" xr:uid="{7AC34BF0-E961-4CC5-948F-0D93BCE65D3F}"/>
    <cellStyle name="Comma0 23" xfId="815" xr:uid="{B7824591-D75C-4007-930D-1ADB79BF18DE}"/>
    <cellStyle name="Comma0 23 2" xfId="816" xr:uid="{DBC2147D-BB95-4D89-B319-8FBA83FE1B1C}"/>
    <cellStyle name="Comma0 24" xfId="817" xr:uid="{5887B183-9386-4CBB-A0DF-EDC7BB95D218}"/>
    <cellStyle name="Comma0 24 2" xfId="818" xr:uid="{EF44F8B2-325A-43B0-9F2F-1C7A946A02BA}"/>
    <cellStyle name="Comma0 25" xfId="819" xr:uid="{CC0BAD3D-F4AA-4633-BF4A-E5E0967B2352}"/>
    <cellStyle name="Comma0 25 2" xfId="820" xr:uid="{A52124F5-AE16-4D0D-A586-80A5C31FB5A8}"/>
    <cellStyle name="Comma0 26" xfId="821" xr:uid="{BF3F5549-6564-4CC3-A5CC-3B457A7F2F94}"/>
    <cellStyle name="Comma0 26 2" xfId="822" xr:uid="{B9ACEEEC-04C4-4DE1-AC42-6DC8C39404E4}"/>
    <cellStyle name="Comma0 27" xfId="823" xr:uid="{B4E6D8DA-8F0C-4302-863B-2B25B5DFB331}"/>
    <cellStyle name="Comma0 28" xfId="824" xr:uid="{1C89A5CE-5B5F-4D0B-896E-606E12F14089}"/>
    <cellStyle name="Comma0 29" xfId="825" xr:uid="{A4E95343-7002-4BE3-8308-261846823881}"/>
    <cellStyle name="Comma0 3" xfId="826" xr:uid="{6E2CBC83-9923-4C50-9E8A-00882617742F}"/>
    <cellStyle name="Comma0 3 2" xfId="827" xr:uid="{C69C679A-8B1B-4D34-93ED-10D48C303241}"/>
    <cellStyle name="Comma0 4" xfId="828" xr:uid="{455A29F0-ED02-4F1A-88D3-E4A2D50CE822}"/>
    <cellStyle name="Comma0 4 2" xfId="829" xr:uid="{02172CCB-69D5-4B96-901D-6C65EB36800F}"/>
    <cellStyle name="Comma0 5" xfId="830" xr:uid="{26DCDE1A-344B-46CD-BA17-5EF8A3C4B8DE}"/>
    <cellStyle name="Comma0 5 2" xfId="831" xr:uid="{B3EE6A8B-DCE9-4999-9531-263797E3DA32}"/>
    <cellStyle name="Comma0 6" xfId="832" xr:uid="{5977C52C-2117-4B01-AA14-31BA751B1F87}"/>
    <cellStyle name="Comma0 6 2" xfId="833" xr:uid="{3E90C3EC-F0DA-4F86-AC8D-BA425F4B9799}"/>
    <cellStyle name="Comma0 7" xfId="834" xr:uid="{3773451A-447F-4A04-8D27-A8E936C61AD3}"/>
    <cellStyle name="Comma0 7 2" xfId="835" xr:uid="{194924DD-2950-4381-95F5-976D7C302D13}"/>
    <cellStyle name="Comma0 8" xfId="836" xr:uid="{849191D8-2CDF-4C4E-A92E-725391385209}"/>
    <cellStyle name="Comma0 8 2" xfId="837" xr:uid="{B80276A1-279F-45EC-9F0F-7D570893ED34}"/>
    <cellStyle name="Comma0 9" xfId="838" xr:uid="{5982DCE0-C801-4F0D-B604-5008B6E0FA34}"/>
    <cellStyle name="Comma0 9 2" xfId="839" xr:uid="{28FC6C51-A429-4294-B857-B125B543C8CF}"/>
    <cellStyle name="Comma1 - Style1" xfId="840" xr:uid="{63BE462A-EB41-48F4-83BC-D6D5FCC75D02}"/>
    <cellStyle name="Comma1 - Style1 2" xfId="841" xr:uid="{402F03A1-497F-4833-BAD0-01A420D7C73A}"/>
    <cellStyle name="Comma1 - Style1_FAGOR" xfId="842" xr:uid="{6D388DB0-F56F-4C30-A748-0A5E2668E6DC}"/>
    <cellStyle name="Commentaire" xfId="843" xr:uid="{C9A4F65F-9551-412B-9D29-82859CBF981E}"/>
    <cellStyle name="Commentaire 2" xfId="844" xr:uid="{EBB20A58-3DB2-4231-A056-094F68EEC326}"/>
    <cellStyle name="Copied" xfId="845" xr:uid="{134826A0-2262-4797-9471-D2743774B4A3}"/>
    <cellStyle name="Copied 2" xfId="846" xr:uid="{AEE6943B-2F1F-42C4-AD34-A6CE402A66DE}"/>
    <cellStyle name="ct1" xfId="847" xr:uid="{940F4D4F-5248-4282-952C-A58939E6852C}"/>
    <cellStyle name="ct1 2" xfId="848" xr:uid="{A53DB367-CDAA-4FCA-A451-19B400E8C586}"/>
    <cellStyle name="ct1_FAGOR" xfId="849" xr:uid="{7B30C48D-BCB0-4BAC-9D66-2755D84003FA}"/>
    <cellStyle name="ct2" xfId="850" xr:uid="{E6C4503F-617B-4A12-B8C2-792D65C068EF}"/>
    <cellStyle name="ct2 2" xfId="851" xr:uid="{C8AC50FA-92D7-4C74-9B35-D3F3153B2F73}"/>
    <cellStyle name="ct2_FAGOR" xfId="852" xr:uid="{05648E8A-28BD-4450-BD3B-F5A57388A77C}"/>
    <cellStyle name="ctm1" xfId="853" xr:uid="{D2EC017E-F8D3-4E06-B351-01BF2EC1627E}"/>
    <cellStyle name="ctm1 2" xfId="854" xr:uid="{047B66F2-2B65-4841-B44E-6CD1AEBBAD31}"/>
    <cellStyle name="ctm1_FAGOR" xfId="855" xr:uid="{DD2C1974-D35A-4632-8FCB-E4474D818A83}"/>
    <cellStyle name="ctm2" xfId="856" xr:uid="{E3AC2C19-E127-45F9-B5C5-3EEFB7DA0FE0}"/>
    <cellStyle name="ctm2 2" xfId="857" xr:uid="{AF1A2CFA-6052-4E0E-B48A-D09E09383AFE}"/>
    <cellStyle name="ctm2_FAGOR" xfId="858" xr:uid="{535B10A8-4DDD-4857-AFFD-90C81974F40B}"/>
    <cellStyle name="ctm3" xfId="859" xr:uid="{8900BD1B-265B-45D8-9BCD-5A86265E89A3}"/>
    <cellStyle name="ctm3 2" xfId="860" xr:uid="{9A3DD99D-6978-4065-A71F-2D1A7DF5113C}"/>
    <cellStyle name="ctm3_FAGOR" xfId="861" xr:uid="{AEEF0880-A146-4B92-87B4-C0924FEA9DBD}"/>
    <cellStyle name="ctpp" xfId="862" xr:uid="{9D5EE04D-092F-4D36-9019-88133F9B73A8}"/>
    <cellStyle name="ctpp 2" xfId="863" xr:uid="{4FDECA6D-86FB-400B-AA82-A73CCF187CCC}"/>
    <cellStyle name="ctpp_FAGOR" xfId="864" xr:uid="{5C13E9F9-58CE-4B4B-B7CC-C685B1E55499}"/>
    <cellStyle name="Curren - Style2" xfId="865" xr:uid="{C4011022-EBC0-40D9-A375-D58E7F8B993C}"/>
    <cellStyle name="Curren - Style2 2" xfId="866" xr:uid="{65CDDB7B-D9A7-487F-8CEF-3DFA54684FEC}"/>
    <cellStyle name="Curren - Style2_FAGOR" xfId="867" xr:uid="{95F863AE-8C89-4836-A6C1-2EDADC67D371}"/>
    <cellStyle name="Curren - Style5" xfId="868" xr:uid="{AE23DB12-7BCF-4331-A13C-C7F93DB2F0A0}"/>
    <cellStyle name="Curren - Style5 2" xfId="869" xr:uid="{DBDEE1EB-2D63-4802-A418-8227F7FD54AA}"/>
    <cellStyle name="Curren - Style5_FAGOR" xfId="870" xr:uid="{2DF78DBC-56BF-4D9D-954B-77A904779357}"/>
    <cellStyle name="Currency $" xfId="871" xr:uid="{7E76227B-EEED-4A49-85BC-EDA68F2FEA15}"/>
    <cellStyle name="Currency [00]" xfId="872" xr:uid="{96FBB07B-2DC2-4C76-A309-B0406CA879AD}"/>
    <cellStyle name="Currency [00] 2" xfId="873" xr:uid="{A1D5AD46-1F8E-477A-B7B9-B675416DDD22}"/>
    <cellStyle name="Currency [00] 2 2" xfId="874" xr:uid="{C5D9C280-2C3C-48CF-97FB-AA5B8CEB16B7}"/>
    <cellStyle name="Currency [00] 3" xfId="875" xr:uid="{F7A0DC61-81B7-4624-9220-8ADCB312A435}"/>
    <cellStyle name="Currency0" xfId="876" xr:uid="{26CC664F-1CBE-4E55-826D-BEA1539205B0}"/>
    <cellStyle name="Currency0 2" xfId="877" xr:uid="{E0810DA9-9987-4FD4-8D16-D220E65D430A}"/>
    <cellStyle name="Currency0 2 2" xfId="878" xr:uid="{4DD384AB-6528-4497-91F5-96E3A54BF7C0}"/>
    <cellStyle name="Currency0 3" xfId="879" xr:uid="{2F8E90F5-74D8-4A1B-913D-A15C54F4E6AA}"/>
    <cellStyle name="custom" xfId="880" xr:uid="{206298C8-7181-4046-9F5B-C22F67208016}"/>
    <cellStyle name="custom 2" xfId="881" xr:uid="{91A55BB1-B420-4794-BF72-063AFCC4840D}"/>
    <cellStyle name="custom 2 2" xfId="882" xr:uid="{DD398B09-3C81-4F58-AC78-BB3BF6BB2F8E}"/>
    <cellStyle name="custom 3" xfId="883" xr:uid="{A4C355BE-0EEA-456C-AEB6-9654D32AC6F2}"/>
    <cellStyle name="D?lig" xfId="884" xr:uid="{E2E95380-45F7-4320-A6DD-D07354A246CF}"/>
    <cellStyle name="D?lig 2" xfId="885" xr:uid="{0A050312-ED1C-4436-A66F-03CA077D384E}"/>
    <cellStyle name="Dålig" xfId="886" xr:uid="{6648606C-1C83-4828-A8BA-2B21774D52E0}"/>
    <cellStyle name="Dålig 2" xfId="887" xr:uid="{3177020B-9B9B-44D1-A72D-D09C515230AD}"/>
    <cellStyle name="Dane wejściowe" xfId="9" builtinId="20" customBuiltin="1"/>
    <cellStyle name="Dane wejściowe 2" xfId="888" xr:uid="{9F16EFCC-7F83-41CC-AE5F-75A9690E737F}"/>
    <cellStyle name="Dane wejściowe 2 2" xfId="2181" xr:uid="{811E8532-EBFA-47F6-B66F-3E2E5C606FBA}"/>
    <cellStyle name="Dane wejściowe 3" xfId="889" xr:uid="{469CBCE8-A6B7-490F-A8FE-47C9A77F7938}"/>
    <cellStyle name="Dane wejściowe 3 2" xfId="2198" xr:uid="{70DD164E-AD10-4E44-ABAE-CBB92A35F462}"/>
    <cellStyle name="Dane wejściowe 4" xfId="890" xr:uid="{C605A3C4-2E14-493B-8825-B49365C1E7BB}"/>
    <cellStyle name="Dane wyjściowe" xfId="10" builtinId="21" customBuiltin="1"/>
    <cellStyle name="Dane wyjściowe 2" xfId="891" xr:uid="{D3FEF43C-7F66-4ABF-B0A6-F2A39FEEE1E5}"/>
    <cellStyle name="Dane wyjściowe 2 2" xfId="2182" xr:uid="{82367078-A030-4E04-8FFE-96B8611D2AAF}"/>
    <cellStyle name="Dane wyjściowe 3" xfId="892" xr:uid="{20DBC681-4845-4ED5-8D8C-82BDD554A829}"/>
    <cellStyle name="Dane wyjściowe 3 2" xfId="2199" xr:uid="{72AD19C0-8F7E-4B67-A13F-0E95E87B09DE}"/>
    <cellStyle name="Dane wyjściowe 4" xfId="893" xr:uid="{6A329C27-1912-49C0-8D7C-D92C841154EE}"/>
    <cellStyle name="DataEntry" xfId="894" xr:uid="{EE9BE392-9607-4191-AB03-F9C7B8B5968D}"/>
    <cellStyle name="DataHiComma0" xfId="895" xr:uid="{D36A7C6C-26AC-42EF-8489-EE0DD14F040A}"/>
    <cellStyle name="DataHiComma0R" xfId="896" xr:uid="{068B137A-6425-49F3-B232-6745608BCBA3}"/>
    <cellStyle name="DataHiComma1R" xfId="897" xr:uid="{41D8A412-AFCB-4374-A755-F5A5421C0482}"/>
    <cellStyle name="DataHiComma2R" xfId="898" xr:uid="{61B26CD4-7F49-4E8E-868D-6C4AFF1A8D46}"/>
    <cellStyle name="DataHiCurr0R" xfId="899" xr:uid="{7D7CDEE4-48B4-4A56-9FD6-DE0F5758B7AB}"/>
    <cellStyle name="DataHiCurr1R" xfId="900" xr:uid="{2C58A68A-F5CB-4514-8AA2-CE2B1270E6AB}"/>
    <cellStyle name="DataHICurr2" xfId="901" xr:uid="{22F1FD4A-71E0-41B4-9187-FB7281E074AC}"/>
    <cellStyle name="DataHiPerc1" xfId="902" xr:uid="{D0A21428-8914-44A6-9F9E-A96C789A1794}"/>
    <cellStyle name="DataLabelHiL" xfId="903" xr:uid="{3E679E62-759D-41DE-85A1-F24C0FCB0021}"/>
    <cellStyle name="DataLabelLoL" xfId="904" xr:uid="{6EDE20E7-A87A-4CF5-9536-ACE7BD9A368D}"/>
    <cellStyle name="DataLoComma0" xfId="905" xr:uid="{29DCF8D4-357E-43AD-904E-3A94363A090A}"/>
    <cellStyle name="DataLoComma0R" xfId="906" xr:uid="{08BF2EDB-935C-4125-AC56-C827AD8FBCA9}"/>
    <cellStyle name="DataLoComma1" xfId="907" xr:uid="{CC8E6368-D366-44BB-8FDD-D9D7F4FF52AB}"/>
    <cellStyle name="DataLoComma1R" xfId="908" xr:uid="{E324C664-C843-4503-B0FB-409D291C069C}"/>
    <cellStyle name="DataLoCurr0" xfId="909" xr:uid="{C5BEAD47-A5E6-4967-A927-0CFC1B21EA4C}"/>
    <cellStyle name="DataLoCurr0R" xfId="910" xr:uid="{BBC2A178-2E4E-4DA9-8753-4994178EE833}"/>
    <cellStyle name="DataLoCurr2" xfId="911" xr:uid="{CE3300E7-4BB1-431E-B812-408DB6154BA2}"/>
    <cellStyle name="DataLoPerc1" xfId="912" xr:uid="{7780223A-269D-45BE-BEE9-C980759FCE74}"/>
    <cellStyle name="Date" xfId="913" xr:uid="{FBC463E2-C3F2-42EB-8743-488393FA7AB8}"/>
    <cellStyle name="Date Short" xfId="914" xr:uid="{B82697DF-D4EE-4F17-8E54-0D3337217DCD}"/>
    <cellStyle name="Date_1.OFCF Data_FCSE_EUR" xfId="915" xr:uid="{D7E0A252-BC1E-4881-99C7-047056BD8E3F}"/>
    <cellStyle name="Dezimal [0]_!!!GO" xfId="916" xr:uid="{4C91CE0F-ABE5-4C01-A38B-B6C2BB1B14B9}"/>
    <cellStyle name="Dezimal_!!!GO" xfId="917" xr:uid="{760EA179-9CAF-4878-9242-FA352F99B226}"/>
    <cellStyle name="Dobre 2" xfId="918" xr:uid="{72055B77-F616-4E21-B44A-E43F65EB8E23}"/>
    <cellStyle name="Dobre 3" xfId="919" xr:uid="{E3D4394E-12D4-4EA7-B297-E8A1CEFBAC78}"/>
    <cellStyle name="Dobre 4" xfId="920" xr:uid="{3863BD64-FEE0-478C-8520-B605119360C6}"/>
    <cellStyle name="Dobry" xfId="6" builtinId="26" customBuiltin="1"/>
    <cellStyle name="done" xfId="921" xr:uid="{F9E23AE6-A8EB-4FCD-8FFE-89BB0224237C}"/>
    <cellStyle name="Dziesietny [0]_9815%" xfId="922" xr:uid="{BF040EBB-1E61-487F-9436-C2FEAABF7A0A}"/>
    <cellStyle name="Dziesietny_9815%" xfId="923" xr:uid="{DBACE49E-B4C9-4355-9774-AE55CA7A0E9F}"/>
    <cellStyle name="Dziesiętny 10" xfId="2040" xr:uid="{D98E0D7C-C78D-46B8-8B6C-15BE1FEEA04C}"/>
    <cellStyle name="Dziesiętny 11" xfId="2062" xr:uid="{40A5057F-2A0C-430E-BBC4-815B05ED370F}"/>
    <cellStyle name="Dziesiętny 12" xfId="2341" xr:uid="{6E4D3226-E283-4A57-8272-ABE21F945EDA}"/>
    <cellStyle name="Dziesiętny 2" xfId="46" xr:uid="{8A359B33-04B4-44A0-8070-2E2AD77C53FC}"/>
    <cellStyle name="Dziesiętny 2 2" xfId="924" xr:uid="{3FDDD7FD-8FB9-415F-9EC4-0473381968D7}"/>
    <cellStyle name="Dziesiętny 2 2 2" xfId="2031" xr:uid="{49F71AF2-4B19-44E4-B097-F5E06972C97E}"/>
    <cellStyle name="Dziesiętny 2 3" xfId="2039" xr:uid="{B4CC5FEB-8583-40DD-8E71-D643B4849FC0}"/>
    <cellStyle name="Dziesiętny 2 4" xfId="2021" xr:uid="{82E8A151-8BF9-4BB2-B38F-B5A23278B5DE}"/>
    <cellStyle name="Dziesiętny 2 5" xfId="2183" xr:uid="{0C4DB675-3490-4054-A424-A0FADAA67402}"/>
    <cellStyle name="Dziesiętny 3" xfId="47" xr:uid="{F6069F38-D264-4DA8-AED6-E9B097B3190D}"/>
    <cellStyle name="Dziesiętny 3 2" xfId="926" xr:uid="{E5772EFA-2582-4EDA-8348-6C80485E35A5}"/>
    <cellStyle name="Dziesiętny 3 2 2" xfId="2033" xr:uid="{46D41E39-9017-4CA7-93DD-4727095528B6}"/>
    <cellStyle name="Dziesiętny 3 3" xfId="2024" xr:uid="{C6BB72FA-4165-4430-800D-A4D463D99CED}"/>
    <cellStyle name="Dziesiętny 3 4" xfId="925" xr:uid="{D6DB4E20-EC10-495A-B1E6-03D9826E69D3}"/>
    <cellStyle name="Dziesiętny 3 5" xfId="2233" xr:uid="{B0FF80EC-21D9-4C04-ADDF-57A9643ABC0D}"/>
    <cellStyle name="Dziesiętny 4" xfId="2013" xr:uid="{8E32F7AB-6298-4922-B31F-438CF09722CA}"/>
    <cellStyle name="Dziesiętny 4 2" xfId="2035" xr:uid="{CD0EE4BF-F96D-42D3-BF89-6E9C827A2969}"/>
    <cellStyle name="Dziesiętny 4 3" xfId="2026" xr:uid="{E0464727-86EB-41A9-AB15-351732491B10}"/>
    <cellStyle name="Dziesiętny 5" xfId="2014" xr:uid="{DB373000-6300-4CF6-9324-DEDC46DA98BF}"/>
    <cellStyle name="Dziesiętny 5 2" xfId="2037" xr:uid="{032C4FA1-0C75-4C9E-80DA-A6C638C05D74}"/>
    <cellStyle name="Dziesiętny 5 3" xfId="2027" xr:uid="{53099153-499B-414B-946C-F650EB992FBD}"/>
    <cellStyle name="Dziesiętny 6" xfId="2015" xr:uid="{1ACCD13A-01B3-412F-9884-C744B530AD6C}"/>
    <cellStyle name="Dziesiętny 6 2" xfId="2028" xr:uid="{B66ADDFC-1534-4E8C-A632-554F22CEC474}"/>
    <cellStyle name="Dziesiętny 7" xfId="2016" xr:uid="{F92EE19B-5A0C-4C6D-9C4E-0A49143313DA}"/>
    <cellStyle name="Dziesiętny 8" xfId="2017" xr:uid="{996E7778-FD43-4A28-905D-F89A03CFA2E8}"/>
    <cellStyle name="Dziesiętny 9" xfId="2018" xr:uid="{9A2E9441-0565-44A2-A857-185CBE7CACFE}"/>
    <cellStyle name="Eingabe" xfId="927" xr:uid="{5AF5675D-D50B-417A-B323-BFACAB9DE10D}"/>
    <cellStyle name="Eingabe 2" xfId="928" xr:uid="{54C3060D-CA99-4B4B-9DE0-8991C11CDC25}"/>
    <cellStyle name="Eingabe 3" xfId="929" xr:uid="{A3B5444A-FC9C-43DE-B316-634532A4BA25}"/>
    <cellStyle name="Eingabe_FAGOR" xfId="930" xr:uid="{437E3AA7-DF27-43E2-8332-4A399FDD7D68}"/>
    <cellStyle name="Ellenőrzőcella" xfId="931" xr:uid="{F01CEDD7-50D4-4ECD-98D5-B46918AF2F5C}"/>
    <cellStyle name="Ellenőrzőcella 2" xfId="932" xr:uid="{EBF271F1-8C97-4218-86F1-609A1F7103AE}"/>
    <cellStyle name="Emphasis 1" xfId="933" xr:uid="{534AB545-CF0A-403F-A0EE-89A1133B29F4}"/>
    <cellStyle name="Emphasis 1 2" xfId="934" xr:uid="{DFC498DD-550E-499B-BD05-C5B147615EAF}"/>
    <cellStyle name="Emphasis 1_FAGOR" xfId="935" xr:uid="{9BBB14C2-CDD1-435C-B0FC-62E201CDBDE1}"/>
    <cellStyle name="Emphasis 2" xfId="936" xr:uid="{90DFA885-922E-488E-A699-C01B3BD64D7B}"/>
    <cellStyle name="Emphasis 2 2" xfId="937" xr:uid="{99A9A814-1991-4A46-B163-D0764D355527}"/>
    <cellStyle name="Emphasis 2_FAGOR" xfId="938" xr:uid="{2FD331A7-5FE0-45E9-A81C-CE26EECC111C}"/>
    <cellStyle name="Emphasis 3" xfId="939" xr:uid="{9BA20C59-CED6-420E-8B9C-00334D7F77F5}"/>
    <cellStyle name="Emphasis 3 2" xfId="940" xr:uid="{6A3034EE-9978-47FF-9489-FD5B1402B62B}"/>
    <cellStyle name="Emphasis 3_FAGOR" xfId="941" xr:uid="{D7711ECC-BB56-4595-91FB-C8110AE04070}"/>
    <cellStyle name="Enter Currency (0)" xfId="942" xr:uid="{BF334C2A-FB8C-400A-AB28-831C131E0823}"/>
    <cellStyle name="Enter Currency (0) 2" xfId="943" xr:uid="{A3C4284E-43E0-4A4B-8B4C-C36C98CCB4E2}"/>
    <cellStyle name="Enter Currency (0) 2 2" xfId="944" xr:uid="{BBC33E6A-DB35-4C80-A83B-B8E5E4BFC774}"/>
    <cellStyle name="Enter Currency (0) 3" xfId="945" xr:uid="{32D37CA1-B327-42EC-91A7-4B315405A549}"/>
    <cellStyle name="Enter Currency (0)_FAGOR" xfId="946" xr:uid="{BE8315D6-75C1-437A-B1E8-2DD130DB4C01}"/>
    <cellStyle name="Enter Currency (2)" xfId="947" xr:uid="{02B96DB0-2A28-4AB7-8017-F22B57FA1B84}"/>
    <cellStyle name="Enter Currency (2) 2" xfId="948" xr:uid="{A835367A-FA9D-496E-9125-370CF3AD55F3}"/>
    <cellStyle name="Enter Currency (2) 2 2" xfId="949" xr:uid="{E0AA6822-AD14-4083-A792-5638F84B3B04}"/>
    <cellStyle name="Enter Currency (2) 3" xfId="950" xr:uid="{A3A72AB6-7CBB-462E-87D6-3DE6968A02BE}"/>
    <cellStyle name="Enter Currency (2)_FAGOR" xfId="951" xr:uid="{275CEB01-4EC5-4CC7-841F-818AF6B8380F}"/>
    <cellStyle name="Enter Units (0)" xfId="952" xr:uid="{390448DD-C344-467C-8A14-E66022F2EC30}"/>
    <cellStyle name="Enter Units (0) 2" xfId="953" xr:uid="{60A98380-EECB-45A4-9AF2-1B7297F9F96F}"/>
    <cellStyle name="Enter Units (0) 2 2" xfId="954" xr:uid="{3613C4EB-D7A1-4D69-BEC7-A9F16DA1B9C3}"/>
    <cellStyle name="Enter Units (0) 3" xfId="955" xr:uid="{3ED183C4-5E99-41A5-A190-01799305E386}"/>
    <cellStyle name="Enter Units (0)_FAGOR" xfId="956" xr:uid="{605392F9-2C45-449C-A764-611C26C52CEA}"/>
    <cellStyle name="Enter Units (1)" xfId="957" xr:uid="{1E8AF957-9B4D-4E00-81E0-03A525979A92}"/>
    <cellStyle name="Enter Units (1) 2" xfId="958" xr:uid="{8A630EF8-9DFF-446E-8716-A13329F89895}"/>
    <cellStyle name="Enter Units (1) 2 2" xfId="959" xr:uid="{DE60C470-77A7-4A15-8172-392C6FB85E51}"/>
    <cellStyle name="Enter Units (1) 3" xfId="960" xr:uid="{730259A3-1338-4261-97E9-42DB347B4213}"/>
    <cellStyle name="Enter Units (1)_FAGOR" xfId="961" xr:uid="{E7001B1A-2CF3-4A7A-82A9-61787E3C93D3}"/>
    <cellStyle name="Enter Units (2)" xfId="962" xr:uid="{6BA58AC8-446B-4161-B63F-97868B0ECD14}"/>
    <cellStyle name="Enter Units (2) 2" xfId="963" xr:uid="{A84F5F19-B31D-4974-991E-A109B914948F}"/>
    <cellStyle name="Enter Units (2) 2 2" xfId="964" xr:uid="{992DC086-667F-4BFF-AD17-6DFD491CC935}"/>
    <cellStyle name="Enter Units (2) 3" xfId="965" xr:uid="{AC83C602-102C-4C1E-B774-717F7BF594DB}"/>
    <cellStyle name="Enter Units (2)_FAGOR" xfId="966" xr:uid="{05FB0296-99E1-41B9-A9F0-5918B5FFB002}"/>
    <cellStyle name="Entered" xfId="967" xr:uid="{03260D7A-9745-472F-86D9-C5AC08D0670F}"/>
    <cellStyle name="Entered 2" xfId="968" xr:uid="{A1A06736-65DC-4BF7-8450-71F12319D1DD}"/>
    <cellStyle name="entetecolonne" xfId="969" xr:uid="{5A260AA9-A728-4421-8CF3-CFE8C9A2F7A0}"/>
    <cellStyle name="Entrée" xfId="970" xr:uid="{645FDA92-0945-40EF-AE12-EE106DC9514B}"/>
    <cellStyle name="Entrée 2" xfId="971" xr:uid="{F0A31D8C-77AF-4602-A979-C87D6B6F7FFD}"/>
    <cellStyle name="Entrée_FAGOR" xfId="972" xr:uid="{BC08A3F5-6D61-4063-AA27-26545FF78C75}"/>
    <cellStyle name="EntryHiComma0" xfId="973" xr:uid="{98D8ED90-8191-4FCC-933D-35532D38B90D}"/>
    <cellStyle name="EntryHiComma0 2" xfId="974" xr:uid="{05AC0BC2-F384-4E28-ADC1-F3141A51A138}"/>
    <cellStyle name="EntryHiComma0_FAGOR" xfId="975" xr:uid="{A5A2B0C0-05D5-4C30-A82E-BA5154614D97}"/>
    <cellStyle name="EntryHiComma0R" xfId="976" xr:uid="{3B0A39C9-E1EC-4C38-BA91-81F69A28F6EA}"/>
    <cellStyle name="EntryHiComma1R" xfId="977" xr:uid="{F093EF0D-8A61-49AB-A44D-28B397256E4B}"/>
    <cellStyle name="EntryHiCurr0" xfId="978" xr:uid="{53858264-E338-4AFF-AF22-24F945D3BAA5}"/>
    <cellStyle name="EntryHiCurr0R" xfId="979" xr:uid="{5D58EABE-AD3B-41A7-86FB-74FE61F91099}"/>
    <cellStyle name="EntryHiCurr1R" xfId="980" xr:uid="{48AA2F00-4952-4EE5-9CFB-C41608637ED2}"/>
    <cellStyle name="EntryHiCurr2" xfId="981" xr:uid="{1B364835-BBD7-4426-9DE0-3959CF888DB6}"/>
    <cellStyle name="EntryHiCurr2R" xfId="982" xr:uid="{C62FCE38-FEC9-4C37-989D-2406388ED8D8}"/>
    <cellStyle name="EntryHiPerc1" xfId="983" xr:uid="{0E0D8BEA-12F4-4B7E-A6C5-D18ED188EE2D}"/>
    <cellStyle name="EntryLabelHiL" xfId="984" xr:uid="{DF57F597-D4CC-4345-BC29-5FE5D67292A9}"/>
    <cellStyle name="Ergebnis" xfId="985" xr:uid="{6A37D638-9A66-4378-8EC0-14F46077E972}"/>
    <cellStyle name="Ergebnis 2" xfId="986" xr:uid="{DE8F5627-CF0A-4C83-A6DB-E1957988CEC5}"/>
    <cellStyle name="Ergebnis 3" xfId="987" xr:uid="{8F356909-6284-4430-B581-6103FA2B1A16}"/>
    <cellStyle name="Ergebnis_FAGOR" xfId="988" xr:uid="{9E4AE50C-A887-457D-8AE2-880336ADBD5A}"/>
    <cellStyle name="Erklärender Text" xfId="989" xr:uid="{FCA63151-1A7B-4AC8-8880-E48DEB94961B}"/>
    <cellStyle name="Erklärender Text 2" xfId="990" xr:uid="{9674742B-5D97-4693-BDBE-29B5154F5F99}"/>
    <cellStyle name="Erklärender Text 3" xfId="991" xr:uid="{51BF266C-DA4F-4940-8F58-6EC204822021}"/>
    <cellStyle name="Erklärender Text_FAGOR" xfId="992" xr:uid="{697F3B03-730A-4DE0-B47C-4D44700A1B4C}"/>
    <cellStyle name="Euro" xfId="993" xr:uid="{44447FFD-5FCB-493A-8675-13E37AE7D933}"/>
    <cellStyle name="Euro 2" xfId="994" xr:uid="{2C5C691F-6790-4B3A-926E-A8C3E8396CD8}"/>
    <cellStyle name="Explanatory Text" xfId="995" xr:uid="{7E21A12A-CA6B-4809-B92A-F935D77D1738}"/>
    <cellStyle name="Explanatory Text 2" xfId="996" xr:uid="{AF439E2A-E2FF-4AD9-9324-2D2DC88D83CE}"/>
    <cellStyle name="F2" xfId="997" xr:uid="{66141835-B8E9-44B5-8561-384C1B70EF34}"/>
    <cellStyle name="F3" xfId="998" xr:uid="{F1749FE7-A509-4746-8902-25243C10E823}"/>
    <cellStyle name="F4" xfId="999" xr:uid="{A26E9269-C532-494A-9124-05D06C960A28}"/>
    <cellStyle name="F5" xfId="1000" xr:uid="{9B5BEB9C-C1A3-4125-8B71-939F21832860}"/>
    <cellStyle name="F5 2" xfId="1001" xr:uid="{E5F3EEE1-6159-494D-B7C9-660AE7C8CDDC}"/>
    <cellStyle name="F5_FAGOR" xfId="1002" xr:uid="{082AA3EB-1283-430A-9B89-5C3E8E84D01B}"/>
    <cellStyle name="F6" xfId="1003" xr:uid="{4977449F-1B72-4457-B1F1-BC892AFE37E1}"/>
    <cellStyle name="F7" xfId="1004" xr:uid="{10EB126D-4C1E-4B07-80D2-1C6AE56AD265}"/>
    <cellStyle name="F7 2" xfId="1005" xr:uid="{3FAFC422-120B-4302-B890-65C011AD4A99}"/>
    <cellStyle name="F7_FAGOR" xfId="1006" xr:uid="{2A8C8D42-0739-4FE6-B888-EA5962FAC6AD}"/>
    <cellStyle name="F8" xfId="1007" xr:uid="{8087B51F-6B82-4DF8-B0E8-56B7F73A4672}"/>
    <cellStyle name="Färg1" xfId="1008" xr:uid="{673A0F76-882D-44D4-A284-12C709CEFFBD}"/>
    <cellStyle name="Färg1 2" xfId="1009" xr:uid="{3A84A55A-058C-43B4-A06E-C7ED50141AE3}"/>
    <cellStyle name="Färg1_FAGOR" xfId="1010" xr:uid="{D86A60C9-7B5B-412A-B883-C7CB6C27CA26}"/>
    <cellStyle name="Färg2" xfId="1011" xr:uid="{327A8DBD-4E2D-410C-90D0-48F9CC7D6873}"/>
    <cellStyle name="Färg2 2" xfId="1012" xr:uid="{F0BD0891-D8E2-4E80-AC68-047077B8BD57}"/>
    <cellStyle name="Färg2_FAGOR" xfId="1013" xr:uid="{5D4D9EB4-50D9-4837-B80C-105E54E1CC74}"/>
    <cellStyle name="Färg3" xfId="1014" xr:uid="{7BE6EF43-E0ED-4C10-9101-CFB594D1AA4B}"/>
    <cellStyle name="Färg3 2" xfId="1015" xr:uid="{C9E31DFD-A675-4D21-8A44-1539EC1B6220}"/>
    <cellStyle name="Färg3_FAGOR" xfId="1016" xr:uid="{BAE5D274-CD92-4488-8C12-9069749455AE}"/>
    <cellStyle name="Färg4" xfId="1017" xr:uid="{452B83E1-D117-42B4-A76B-D38FCBA957FD}"/>
    <cellStyle name="Färg4 2" xfId="1018" xr:uid="{829840D9-F5B9-450D-A55B-6898B39B87C6}"/>
    <cellStyle name="Färg4_FAGOR" xfId="1019" xr:uid="{229576BF-F8B3-4D4C-964B-E283458306D6}"/>
    <cellStyle name="Färg5" xfId="1020" xr:uid="{496E49C3-1C83-41B0-A50B-D02FD19FE979}"/>
    <cellStyle name="Färg5 2" xfId="1021" xr:uid="{86CC307C-74E3-4720-B717-AFBD3FA97031}"/>
    <cellStyle name="Färg5_FAGOR" xfId="1022" xr:uid="{BA49234D-64CE-49D8-AE8E-85B6F8EC1025}"/>
    <cellStyle name="Färg6" xfId="1023" xr:uid="{8ECF4560-5AC8-44A4-8C15-D134C51E78C4}"/>
    <cellStyle name="Färg6 2" xfId="1024" xr:uid="{0663EA86-DDAB-4025-B607-77A15CF92FA8}"/>
    <cellStyle name="Färg6_FAGOR" xfId="1025" xr:uid="{F27418EC-30BA-47F3-B36C-794CCB2628B0}"/>
    <cellStyle name="Figyelmeztetés" xfId="1026" xr:uid="{2AD32623-776D-4064-A721-6958E951638C}"/>
    <cellStyle name="Figyelmeztetés 2" xfId="1027" xr:uid="{173B331A-6F33-463D-8692-F0D0228492BC}"/>
    <cellStyle name="Fixed" xfId="1028" xr:uid="{17F7C92C-F27F-45AF-BEFB-2EE208B8B333}"/>
    <cellStyle name="Fixed 2" xfId="1029" xr:uid="{AFEE8E18-E924-4EC7-B537-28763F31B0D5}"/>
    <cellStyle name="Fixed 2 2" xfId="1030" xr:uid="{ECCC5302-8235-4129-880E-74DEBC47C990}"/>
    <cellStyle name="Fixed 3" xfId="1031" xr:uid="{6A4DCE98-CF84-407F-BB87-89482ED42D27}"/>
    <cellStyle name="Fixed_FAGOR" xfId="1032" xr:uid="{5353B7E5-2DFE-4B52-910A-D13C8F373077}"/>
    <cellStyle name="Fixed2 - Style2" xfId="1033" xr:uid="{1EDE21CA-A1DF-4373-9479-12123B74601D}"/>
    <cellStyle name="Fixed2 - Style2 2" xfId="1034" xr:uid="{3F3E5798-105E-4F01-ADA3-EBF066F73364}"/>
    <cellStyle name="Fixed2 - Style2_FAGOR" xfId="1035" xr:uid="{69A9183D-C66D-4358-A130-49977BA8DE98}"/>
    <cellStyle name="Fond" xfId="1036" xr:uid="{79A81BD6-BC6E-4740-A3A1-F6E0809BD02A}"/>
    <cellStyle name="Fond 2" xfId="1037" xr:uid="{D9D24A12-097E-442C-AB3E-114A3ADBF2BD}"/>
    <cellStyle name="Fond_R1+ R2" xfId="1038" xr:uid="{9EA72999-E7EF-4735-AFEE-B15F76D697F6}"/>
    <cellStyle name="Förklarande text" xfId="1039" xr:uid="{1C21C377-9F0D-43BF-B697-7A5F1A0E6B9E}"/>
    <cellStyle name="Förklarande text 2" xfId="1040" xr:uid="{4C620F46-3A37-4A3E-9D14-BCC6E62CC7C9}"/>
    <cellStyle name="Förklarande text_FAGOR" xfId="1041" xr:uid="{ABFD72BE-280F-4A22-B55B-2D434A83F7E0}"/>
    <cellStyle name="form" xfId="1042" xr:uid="{945E7DF9-E767-4532-81EA-D502B794A569}"/>
    <cellStyle name="form 2" xfId="1043" xr:uid="{7DFC9932-9828-4B31-A3BE-2F39F85D952B}"/>
    <cellStyle name="form_FAGOR" xfId="1044" xr:uid="{423B1509-9EE6-40F4-B179-7851C41B45BF}"/>
    <cellStyle name="general" xfId="1045" xr:uid="{06D26D1D-1F6D-49E5-A250-BD9250BDF317}"/>
    <cellStyle name="general 2" xfId="1046" xr:uid="{8D018A2C-9296-497F-A52E-E603101F93BF}"/>
    <cellStyle name="general_FAGOR" xfId="1047" xr:uid="{72FFFB05-4916-4052-83AB-E042ED17C422}"/>
    <cellStyle name="Good" xfId="1048" xr:uid="{05457EC0-F4F8-4AFC-943F-34BF5815FBC1}"/>
    <cellStyle name="Good 2" xfId="1049" xr:uid="{749FFF80-8944-4E0D-8E82-0B9267F5AB0A}"/>
    <cellStyle name="Grey" xfId="1050" xr:uid="{FEB468BC-894E-4FB0-9F84-17C0F60DA76F}"/>
    <cellStyle name="GROS" xfId="1051" xr:uid="{6310C48B-F041-48D1-ACC4-66FBDDBD6D66}"/>
    <cellStyle name="Gut" xfId="1052" xr:uid="{482DA749-8579-44D6-968D-AE8ACD644F6B}"/>
    <cellStyle name="Gut 2" xfId="1053" xr:uid="{FC97EA07-C6B9-4FE6-BF08-67AF84889320}"/>
    <cellStyle name="Gut 3" xfId="1054" xr:uid="{0BBCCB5C-9D0B-4507-B7F0-8B3D4CF8413E}"/>
    <cellStyle name="Gut_FAGOR" xfId="1055" xr:uid="{9319DF30-72D5-457C-AE95-AE858CB9AE9A}"/>
    <cellStyle name="HEADER" xfId="1056" xr:uid="{40FCB892-D6C6-4AA0-BA9D-23A6F6C6D7F0}"/>
    <cellStyle name="HEADER 2" xfId="1057" xr:uid="{F6F700E4-D870-40AA-B0AA-05F87953F831}"/>
    <cellStyle name="HEADER_FAGOR" xfId="1058" xr:uid="{5AF04006-9076-418F-822C-996746BFF2CD}"/>
    <cellStyle name="Header1" xfId="1059" xr:uid="{3889753C-F6E9-4966-8C8D-23CFC8449F82}"/>
    <cellStyle name="Header1 2" xfId="1060" xr:uid="{D8B3AA26-16A8-4F16-A7CA-2D7D175C6A86}"/>
    <cellStyle name="Header1_FAGOR" xfId="1061" xr:uid="{CB565077-4DAE-4B0C-90FC-E01AAF700D98}"/>
    <cellStyle name="Header2" xfId="1062" xr:uid="{EB785A20-1AF2-4D9E-AC69-A29D516E3830}"/>
    <cellStyle name="Header2 2" xfId="1063" xr:uid="{917863D8-E259-42A2-BB2A-3347388B5D83}"/>
    <cellStyle name="Header2_FAGOR" xfId="1064" xr:uid="{C5E643E5-4563-478D-98EC-D41D7D120136}"/>
    <cellStyle name="Heading 1" xfId="1065" xr:uid="{545F30C9-2EF6-4B75-A2B3-689BAD3DD00C}"/>
    <cellStyle name="Heading 1 2" xfId="1066" xr:uid="{277254EB-3180-4398-B971-A61C882EB508}"/>
    <cellStyle name="Heading 2" xfId="1067" xr:uid="{BCB9719E-FD68-4D42-A22B-F7768A898B47}"/>
    <cellStyle name="Heading 2 2" xfId="1068" xr:uid="{D5BE41E8-AB4A-4D50-93A4-F699841A0F20}"/>
    <cellStyle name="Heading 3" xfId="1069" xr:uid="{123BF070-908F-4FC1-A9E0-EF865433FA52}"/>
    <cellStyle name="Heading 3 2" xfId="1070" xr:uid="{03BC90D0-553B-417F-BACE-76C4441E236C}"/>
    <cellStyle name="Heading 4" xfId="1071" xr:uid="{33FF8B13-946A-4236-9717-92D5443351FB}"/>
    <cellStyle name="Heading 4 2" xfId="1072" xr:uid="{2A664D1C-E028-4B9F-AB9E-27FF76380C80}"/>
    <cellStyle name="Heading1" xfId="1073" xr:uid="{E6DFB59E-4800-491D-8F0E-3572728126EB}"/>
    <cellStyle name="Heading1 2" xfId="1074" xr:uid="{F360FFCC-4D6F-4D8F-84BA-25A75DB9725E}"/>
    <cellStyle name="Heading1 2 2" xfId="1075" xr:uid="{5156E87E-8552-4DDA-A741-448BC9A4124A}"/>
    <cellStyle name="Heading1 3" xfId="1076" xr:uid="{98D7F087-472F-47C0-9A3A-92015AA96B33}"/>
    <cellStyle name="Heading1_FAGOR" xfId="1077" xr:uid="{7C2391F8-8B94-4A81-B11D-1DCF4A80707B}"/>
    <cellStyle name="Heading2" xfId="1078" xr:uid="{3EDFAB9A-53DD-48C1-854E-CEBF50420A5C}"/>
    <cellStyle name="Heading2 2" xfId="1079" xr:uid="{151CD170-964D-4F76-94DC-BA5D8720D87F}"/>
    <cellStyle name="Heading2 2 2" xfId="1080" xr:uid="{8EDC8A3C-FB30-45EE-ADCC-FAFC9C1B26E5}"/>
    <cellStyle name="Heading2 3" xfId="1081" xr:uid="{0A3222D0-C36A-4B0C-8154-5B6761BAEA28}"/>
    <cellStyle name="Heading2_FAGOR" xfId="1082" xr:uid="{71373A64-E1FD-496F-B20F-EE9B7AF98DE1}"/>
    <cellStyle name="HEADINGS" xfId="1083" xr:uid="{CB80A162-F7C7-4D98-A942-213CEA7C3B64}"/>
    <cellStyle name="HEADINGS 2" xfId="1084" xr:uid="{69F69BA7-B57E-48F7-B36C-E6E72534F417}"/>
    <cellStyle name="HEADINGS_R1+ R2" xfId="1085" xr:uid="{EBE9156E-4C75-40DD-83B9-7A28AA369C0F}"/>
    <cellStyle name="HEADINGSTOP" xfId="1086" xr:uid="{9B2E7D10-5571-4B93-838B-2608B7490FCA}"/>
    <cellStyle name="HEADINGSTOP 2" xfId="1087" xr:uid="{224E09C2-88A6-4B19-A8CE-7790AC1F47B8}"/>
    <cellStyle name="HEADINGSTOP_R1+ R2" xfId="1088" xr:uid="{7A2FDFC0-575A-4F3D-A8FC-0BDE56D9CB0D}"/>
    <cellStyle name="HIGHLIGHT" xfId="1089" xr:uid="{2641E095-B757-4471-A6A0-919F461B0AB0}"/>
    <cellStyle name="HIGHLIGHT 2" xfId="1090" xr:uid="{0F0AFA79-EF49-43CB-98D0-F5F1A3785118}"/>
    <cellStyle name="HIGHLIGHT_FAGOR" xfId="1091" xr:uid="{A46CBACA-4D8F-427A-8C7D-13DCAACDA6C8}"/>
    <cellStyle name="Hiperlacze" xfId="1092" xr:uid="{E2327E0C-3857-4B89-9B7C-1B13409DFD2F}"/>
    <cellStyle name="Hiperlacze 2" xfId="1093" xr:uid="{6134C452-59C3-4488-A15D-6A496D961AC9}"/>
    <cellStyle name="Hiperłącze 2" xfId="1094" xr:uid="{910A3FBF-4325-41D7-BA3D-F44DB6F5D550}"/>
    <cellStyle name="Hiperłącze 3" xfId="1095" xr:uid="{9325087D-7870-4E03-8C37-03F068D9181E}"/>
    <cellStyle name="Hiperłącze 4" xfId="1096" xr:uid="{843D91D5-16E9-4D9C-8D10-CDC4484C61DF}"/>
    <cellStyle name="Hiperłącze 5" xfId="1097" xr:uid="{A98B1439-00BF-4CA1-89B8-1565BC5D9997}"/>
    <cellStyle name="Hiperłącze 6" xfId="1098" xr:uid="{115186EE-251C-4B07-86E6-B64628917D34}"/>
    <cellStyle name="Hiperłącze 7" xfId="1099" xr:uid="{58CA3D3D-23D2-4613-AE22-A29374410D71}"/>
    <cellStyle name="Hiperłącze 8" xfId="1100" xr:uid="{E52BE3F8-88C6-4C2F-A505-E410D56E43E4}"/>
    <cellStyle name="Hiperłącze 9" xfId="1101" xr:uid="{756CC8F7-BAD2-4408-BE0F-E8795BDA9148}"/>
    <cellStyle name="Hivatkozott cella" xfId="1102" xr:uid="{68698D01-3DF2-44E9-9B6E-B752A74B791F}"/>
    <cellStyle name="Hivatkozott cella 2" xfId="1103" xr:uid="{3D5EB82F-37BD-4407-B72C-8D1D42E00E0B}"/>
    <cellStyle name="Hyperlänk_Blad2" xfId="1104" xr:uid="{ABAE427A-8B40-44A7-A8BD-EFD7D004010E}"/>
    <cellStyle name="Hypertextový odkaz 2" xfId="1105" xr:uid="{B6985183-7A14-40DE-B3F2-D6336083A15B}"/>
    <cellStyle name="Indata" xfId="1106" xr:uid="{FD9479CB-9E94-4815-96FD-83C19CE96339}"/>
    <cellStyle name="Indata 2" xfId="1107" xr:uid="{61E47A9D-2A7D-45DE-9098-E3293BF462B8}"/>
    <cellStyle name="Indata_FAGOR" xfId="1108" xr:uid="{E63B7BD5-1115-4FE7-90D8-34CCBF61C825}"/>
    <cellStyle name="InpLabels" xfId="1109" xr:uid="{056EC738-C435-4359-978D-82D7FDB1D9D5}"/>
    <cellStyle name="InpLabels 2" xfId="1110" xr:uid="{6F0AD4E5-C3A1-404A-ABFD-A6816DEFE245}"/>
    <cellStyle name="InpLabels_FAGOR" xfId="1111" xr:uid="{68E0FB1A-6734-4B73-AB6C-2358E40F77AE}"/>
    <cellStyle name="InpLabels2_FullOnly" xfId="1112" xr:uid="{24CA0959-C911-4798-B642-4EE5255571FC}"/>
    <cellStyle name="Input" xfId="1113" xr:uid="{DA0D3F5A-5775-43A3-9EE6-31235E389808}"/>
    <cellStyle name="Input [yellow]" xfId="1114" xr:uid="{A6A28171-33ED-498B-A2E4-7DDDCA69E270}"/>
    <cellStyle name="Input 2" xfId="1115" xr:uid="{2BA5870A-CAD2-4DBF-97AD-84F97FB3BEAC}"/>
    <cellStyle name="Input Cells" xfId="1116" xr:uid="{5AEDAA9A-2C11-4F79-A6B4-1E098CBEF17D}"/>
    <cellStyle name="Input INT" xfId="1117" xr:uid="{E8E2DD43-8D82-43FA-91B5-BB343E919AE0}"/>
    <cellStyle name="Input Rate" xfId="1118" xr:uid="{53952700-F91F-41B9-AF44-5D1E36EA432B}"/>
    <cellStyle name="Input_1.OFCF Data_FCSE_EUR" xfId="1119" xr:uid="{F8446FC3-051B-463F-9796-946C347CDE04}"/>
    <cellStyle name="Insatisfaisant" xfId="1120" xr:uid="{E964A8FF-E5DA-42DA-B161-1F46CCA798D3}"/>
    <cellStyle name="Insatisfaisant 2" xfId="1121" xr:uid="{D3A832F5-E6CE-47BE-990F-89361C05136B}"/>
    <cellStyle name="Insatisfaisant_FAGOR" xfId="1122" xr:uid="{78E9BEE9-F8CE-47D3-8539-4CABF6008603}"/>
    <cellStyle name="Jegyzet" xfId="1123" xr:uid="{22610F27-0C0B-4408-998F-9A60F1A99808}"/>
    <cellStyle name="Jegyzet 2" xfId="1124" xr:uid="{86BD48DF-50D7-4F71-AA08-5050C7D2F454}"/>
    <cellStyle name="Jegyzet 2 2" xfId="1125" xr:uid="{679AE820-834C-4EFB-9747-2D0BAEBC903B}"/>
    <cellStyle name="Jegyzet 2 2 2" xfId="1126" xr:uid="{AE85A43E-104A-40AF-BD59-0AA1E9F2F09F}"/>
    <cellStyle name="Jegyzet 2 3" xfId="1127" xr:uid="{F9ADF3DA-0091-41E2-89F7-9F9B470741EC}"/>
    <cellStyle name="Jegyzet 3" xfId="1128" xr:uid="{0A74BCE3-3568-4445-B519-222CE43AA36C}"/>
    <cellStyle name="Jegyzet 3 2" xfId="1129" xr:uid="{68604A4B-8070-46AC-95C4-BB1735E96548}"/>
    <cellStyle name="Jegyzet 4" xfId="1130" xr:uid="{9A127641-8CEA-4E6C-8AFF-B6EC71056DD9}"/>
    <cellStyle name="Jelölőszín (1)" xfId="1131" xr:uid="{B7F2FBF3-30A4-4F23-870B-77D54764DD2A}"/>
    <cellStyle name="Jelölőszín (1) 2" xfId="1132" xr:uid="{09C58BFF-CF28-44A9-BAE0-1B98A5E5E2FE}"/>
    <cellStyle name="Jelölőszín (2)" xfId="1133" xr:uid="{CADDAFAB-E89B-4D3E-9E64-84C2871929DF}"/>
    <cellStyle name="Jelölőszín (2) 2" xfId="1134" xr:uid="{78391B65-0003-4112-B24B-3E23C9F4FA1E}"/>
    <cellStyle name="Jelölőszín (3)" xfId="1135" xr:uid="{BB6E38C3-3997-4A38-852B-DB5DFCF0C957}"/>
    <cellStyle name="Jelölőszín (3) 2" xfId="1136" xr:uid="{FA617286-A345-4F0C-AD69-48125B1C76B4}"/>
    <cellStyle name="Jelölőszín (4)" xfId="1137" xr:uid="{3245990F-51C8-4175-B2C3-0314841FDC62}"/>
    <cellStyle name="Jelölőszín (4) 2" xfId="1138" xr:uid="{AADFD9F1-8CA6-461C-9158-1A525DF29708}"/>
    <cellStyle name="Jelölőszín (5)" xfId="1139" xr:uid="{1179B6F4-D096-4CB2-9414-A95365085E7A}"/>
    <cellStyle name="Jelölőszín (5) 2" xfId="1140" xr:uid="{6C20B6FD-DC38-488B-AC58-7E8EF381EC79}"/>
    <cellStyle name="Jelölőszín (6)" xfId="1141" xr:uid="{CA609F63-6968-47B3-B633-F178854995C1}"/>
    <cellStyle name="Jelölőszín (6) 2" xfId="1142" xr:uid="{4DCE2518-E447-4007-A7B0-884DEA258852}"/>
    <cellStyle name="Jó" xfId="1143" xr:uid="{4C6FAE54-8DE5-4E3D-9919-2E18BEC3D432}"/>
    <cellStyle name="Jó 2" xfId="1144" xr:uid="{31EBFD1F-5A07-40D8-9F85-86043A6A0F6B}"/>
    <cellStyle name="JV" xfId="1145" xr:uid="{A7B3485E-B887-459A-B475-F5D92FA36A4D}"/>
    <cellStyle name="JV 2" xfId="1146" xr:uid="{C575BDE4-8943-4A7C-8869-927680052BEB}"/>
    <cellStyle name="JV 2 2" xfId="1147" xr:uid="{47C5BE85-051F-479C-A73F-F3F4994355C2}"/>
    <cellStyle name="JV 3" xfId="1148" xr:uid="{AEDCB1E3-977A-4A6C-B799-368552E26215}"/>
    <cellStyle name="JV_FAGOR" xfId="1149" xr:uid="{AC3FD333-70DC-41EC-9BCB-87C5FE3AD6FE}"/>
    <cellStyle name="Kimenet" xfId="1150" xr:uid="{AD17EDCC-33DF-4702-979D-2216E2C36D01}"/>
    <cellStyle name="Kimenet 2" xfId="1151" xr:uid="{EE72DC59-C4A4-47A4-AD65-03BF925D1ADC}"/>
    <cellStyle name="Komma [0]_(OUN 25-10-02) Industrial Investment Plan 2002-2007" xfId="1152" xr:uid="{2573AD73-C0D3-4C7E-8564-B1AA7F085F7B}"/>
    <cellStyle name="Komma_(OUN 25-10-02) Industrial Investment Plan 2002-2007" xfId="1153" xr:uid="{44424FC2-F35B-4C38-BC1A-B3EACB1F594F}"/>
    <cellStyle name="Komórka połączona" xfId="12" builtinId="24" customBuiltin="1"/>
    <cellStyle name="Komórka połączona 2" xfId="1154" xr:uid="{9BB45964-A9F5-4815-9A29-C9029737D068}"/>
    <cellStyle name="Komórka połączona 2 2" xfId="2184" xr:uid="{41FAEB39-4DFF-4263-8D7D-26C3DBD0C493}"/>
    <cellStyle name="Komórka połączona 3" xfId="1155" xr:uid="{0C6D46E6-3EF3-455B-AFE9-D94A559880C7}"/>
    <cellStyle name="Komórka połączona 4" xfId="1156" xr:uid="{835D61F6-9E26-4876-92D1-01A28C19C891}"/>
    <cellStyle name="Komórka zaznaczona" xfId="13" builtinId="23" customBuiltin="1"/>
    <cellStyle name="Komórka zaznaczona 2" xfId="1157" xr:uid="{E83DAE55-7661-4087-9078-137C60E126D9}"/>
    <cellStyle name="Komórka zaznaczona 2 2" xfId="2185" xr:uid="{06D4AB99-8DFD-45FF-A1B3-FFECBB90D798}"/>
    <cellStyle name="Komórka zaznaczona 3" xfId="1158" xr:uid="{F8073CF4-1E06-4AEE-B8A2-89F932BB40EF}"/>
    <cellStyle name="Komórka zaznaczona 4" xfId="1159" xr:uid="{914A8BE9-4F7A-42A8-A953-BE8CFB81F0D5}"/>
    <cellStyle name="Kontrollcell" xfId="1160" xr:uid="{4239D1D6-D25F-49CD-9587-5986F851A93A}"/>
    <cellStyle name="Kontrollcell 2" xfId="1161" xr:uid="{CC388658-C33C-4026-83E2-377205BE1027}"/>
    <cellStyle name="Kontrollcell_FAGOR" xfId="1162" xr:uid="{48D66CDE-5550-41D1-BE2E-D6D922923080}"/>
    <cellStyle name="Kontrolní buňka" xfId="1163" xr:uid="{E5F56A98-9ADA-43EB-B221-CCDA498AD59B}"/>
    <cellStyle name="Kontrolní buňka 2" xfId="1164" xr:uid="{36C2A6A0-4B0D-4B07-995A-443243F6C9DE}"/>
    <cellStyle name="Kontrolní buňka 2 2" xfId="1165" xr:uid="{346EE962-6A22-4678-8896-5621090A1D28}"/>
    <cellStyle name="Label1" xfId="1166" xr:uid="{E0755719-B790-4FAE-8DD2-529B782C70E4}"/>
    <cellStyle name="Label1 2" xfId="1167" xr:uid="{D26BC70D-14F5-4489-B9F8-350162E2FCB5}"/>
    <cellStyle name="Label1_FAGOR" xfId="1168" xr:uid="{15874B1D-BFEE-4C16-9C38-AAEE27A94CB6}"/>
    <cellStyle name="Label2" xfId="1169" xr:uid="{C7CC0B7B-599C-409B-A780-59777DB5D735}"/>
    <cellStyle name="Label2 2" xfId="1170" xr:uid="{68B0BD2D-66AA-4AC5-B4C2-6A76B7B512DA}"/>
    <cellStyle name="Label2_FAGOR" xfId="1171" xr:uid="{9A15B063-F5DF-40E3-8EC9-CD8A03BEFAF4}"/>
    <cellStyle name="Label3" xfId="1172" xr:uid="{FD7A3794-4999-406A-A219-AF99C64D497B}"/>
    <cellStyle name="Label3 2" xfId="1173" xr:uid="{578BD01E-D14C-4BDA-937A-2317D8AF79A5}"/>
    <cellStyle name="Label3_FAGOR" xfId="1174" xr:uid="{9D5CE404-4E90-45A8-AE79-4A46C0E19A04}"/>
    <cellStyle name="Label3C" xfId="1175" xr:uid="{D9BD47C8-21A8-4FE7-B606-66D0A5C15146}"/>
    <cellStyle name="Label3C 2" xfId="1176" xr:uid="{8BE221CD-DDC2-49A8-A4F5-DE1C470BDDB5}"/>
    <cellStyle name="Label3C_FAGOR" xfId="1177" xr:uid="{F24AA521-7359-4B81-B0E6-3F7B4BA97D12}"/>
    <cellStyle name="Label4C" xfId="1178" xr:uid="{54CFB35C-FDCE-4F2A-8759-58B83A9458B1}"/>
    <cellStyle name="Label4C 2" xfId="1179" xr:uid="{4A326127-7F1E-40E8-B860-949F8B908061}"/>
    <cellStyle name="Label4C_FAGOR" xfId="1180" xr:uid="{8B21058E-9BE0-42A9-BFB6-90F6E8D0779D}"/>
    <cellStyle name="LabelBackground" xfId="1181" xr:uid="{6A4A8E5A-C4B3-4F34-A45A-9C0E0520CD81}"/>
    <cellStyle name="LabelBackground 2" xfId="1182" xr:uid="{09212773-B7EB-484C-8861-1CA731C80AC2}"/>
    <cellStyle name="LabelBackground_FAGOR" xfId="1183" xr:uid="{C5C96319-327C-4FF2-996D-C9A52A158791}"/>
    <cellStyle name="Länkad cell" xfId="1184" xr:uid="{E431E436-2589-4B23-B122-F90447E1172C}"/>
    <cellStyle name="Länkad cell 2" xfId="1185" xr:uid="{F1471EE5-61A3-4ABB-976F-055FA8013970}"/>
    <cellStyle name="Länkad cell_FAGOR" xfId="1186" xr:uid="{F0D51A75-EA47-4D11-9819-D94EF5527323}"/>
    <cellStyle name="Lien hypertexte" xfId="1187" xr:uid="{125C3011-DF1B-4F6B-9530-8605FB191C91}"/>
    <cellStyle name="Lien hypertexte 2" xfId="1188" xr:uid="{FBEB2887-05C0-4364-B5A9-ABFDED7CD17B}"/>
    <cellStyle name="Link Currency (0)" xfId="1189" xr:uid="{4F4D92B0-9E62-4AD7-9E6C-9A49A48BE217}"/>
    <cellStyle name="Link Currency (0) 2" xfId="1190" xr:uid="{24BA856F-8A87-454E-A385-4CB42073EE3E}"/>
    <cellStyle name="Link Currency (0) 2 2" xfId="1191" xr:uid="{7A423004-E382-4A2F-B030-A5D4B41045FF}"/>
    <cellStyle name="Link Currency (0) 3" xfId="1192" xr:uid="{D8941300-F670-4DE0-95C9-A5B894C4DCCE}"/>
    <cellStyle name="Link Currency (0)_FAGOR" xfId="1193" xr:uid="{7FEDA38A-7FAB-468B-AAA2-CBBCD0B9B50E}"/>
    <cellStyle name="Link Currency (2)" xfId="1194" xr:uid="{F5F0EC15-5CCD-4655-B745-A3307CE57034}"/>
    <cellStyle name="Link Currency (2) 2" xfId="1195" xr:uid="{33E0B134-9565-47BC-816A-82B4B8C2C757}"/>
    <cellStyle name="Link Currency (2) 2 2" xfId="1196" xr:uid="{13BE1659-A5B5-459F-9ED1-AB4F4FD486DD}"/>
    <cellStyle name="Link Currency (2) 3" xfId="1197" xr:uid="{38B0FB96-0502-4246-AE9B-2E5D16D8C555}"/>
    <cellStyle name="Link Currency (2)_FAGOR" xfId="1198" xr:uid="{CDCE26EA-2F6F-45AF-B2B3-C91B6709783C}"/>
    <cellStyle name="Link Units (0)" xfId="1199" xr:uid="{07ACB392-FD32-43F1-8473-337D393758B2}"/>
    <cellStyle name="Link Units (0) 2" xfId="1200" xr:uid="{686C4D19-8977-4591-819E-BA2C505676FA}"/>
    <cellStyle name="Link Units (0) 2 2" xfId="1201" xr:uid="{BF1C9A22-0A23-445F-AF50-A7B7AA9631A4}"/>
    <cellStyle name="Link Units (0) 3" xfId="1202" xr:uid="{CA5AC8C0-C4C4-4D6B-A2E4-829A6D484666}"/>
    <cellStyle name="Link Units (0)_FAGOR" xfId="1203" xr:uid="{29B256FE-8E21-473E-A75F-080878A80ADB}"/>
    <cellStyle name="Link Units (1)" xfId="1204" xr:uid="{4B3F0F8D-6EAA-4469-BD1E-7B9C982152F1}"/>
    <cellStyle name="Link Units (1) 2" xfId="1205" xr:uid="{C99B2FB6-ECD2-4403-BBA3-D0D8687E4671}"/>
    <cellStyle name="Link Units (1) 2 2" xfId="1206" xr:uid="{27ECB079-4384-4C3D-A91A-7005FBCF3F01}"/>
    <cellStyle name="Link Units (1) 3" xfId="1207" xr:uid="{0A3F91AE-19FD-4EE4-AA20-6B8DDFE053C3}"/>
    <cellStyle name="Link Units (1)_FAGOR" xfId="1208" xr:uid="{9F0DD6BC-D3A5-4D02-AF24-0AC4F4D628A4}"/>
    <cellStyle name="Link Units (2)" xfId="1209" xr:uid="{3EC0884F-4C85-4BE4-AD25-94665D9D3CC3}"/>
    <cellStyle name="Link Units (2) 2" xfId="1210" xr:uid="{DB4BF36E-3663-43F0-8737-9EA9FB22DCF1}"/>
    <cellStyle name="Link Units (2) 2 2" xfId="1211" xr:uid="{9DA20EA4-FAEF-470C-923C-023636ACE4EA}"/>
    <cellStyle name="Link Units (2) 3" xfId="1212" xr:uid="{BEBE0D88-DE23-495E-8AFC-327E963CF805}"/>
    <cellStyle name="Link Units (2)_FAGOR" xfId="1213" xr:uid="{0163337B-9F69-4C93-B982-08EE4AC14303}"/>
    <cellStyle name="Linked Cell" xfId="1214" xr:uid="{569CF395-6602-4CB4-92C2-CD71A2F8E450}"/>
    <cellStyle name="Linked Cell 2" xfId="1215" xr:uid="{FD12E1FD-623E-4664-92C2-98F2D843C02B}"/>
    <cellStyle name="Magyarázó szöveg" xfId="1216" xr:uid="{195E75C8-3B1F-415B-BC56-520D59701E1C}"/>
    <cellStyle name="Magyarázó szöveg 2" xfId="1217" xr:uid="{CF8342C6-38FF-4EAE-9338-FBEAC80E4086}"/>
    <cellStyle name="mb01" xfId="1218" xr:uid="{A250B841-F8A7-4812-9DD7-66DE52E5F44F}"/>
    <cellStyle name="mb11" xfId="1219" xr:uid="{2450130E-E07A-4AA2-A3B8-27B4F9F63D4A}"/>
    <cellStyle name="mbf11" xfId="1220" xr:uid="{F6D3F5F7-7532-4695-968F-9352FB097B91}"/>
    <cellStyle name="Měna 2" xfId="1221" xr:uid="{D70B1BD2-96ED-48B4-BD21-693A42FEFC9B}"/>
    <cellStyle name="Měna 2 2" xfId="1222" xr:uid="{8E2747ED-98BD-4DE4-AF98-B91CC2102AAC}"/>
    <cellStyle name="Millares [0]_10 Empresas " xfId="1223" xr:uid="{1F345951-70DA-4B7A-B7EF-1D7771A1D830}"/>
    <cellStyle name="Millares_10 Empresas " xfId="1224" xr:uid="{188E6CD0-3E8D-4EFC-95A6-12CB36D185D0}"/>
    <cellStyle name="Milliers [0]_35heures" xfId="1225" xr:uid="{30C8D0A4-230F-4AEB-80D2-95559AAB4E27}"/>
    <cellStyle name="Milliers_35heures" xfId="1226" xr:uid="{15FAF2AE-F085-417B-99E4-C54313CD6732}"/>
    <cellStyle name="Model" xfId="1227" xr:uid="{BA19388E-208C-45ED-A000-515825242B9D}"/>
    <cellStyle name="Model 2" xfId="1228" xr:uid="{A0619A54-DA13-4703-92F5-A8B4B18C9E1C}"/>
    <cellStyle name="Model_FAGOR" xfId="1229" xr:uid="{DCA5FC8D-C84E-47F8-90D8-846ED9D0C821}"/>
    <cellStyle name="Moneda [0]_10 Empresas " xfId="1230" xr:uid="{487D02E8-D2BC-4E2E-A35D-596055B0EFD7}"/>
    <cellStyle name="Moneda_10 Empresas " xfId="1231" xr:uid="{E18511E1-88E0-496B-B528-E3DDB7E67166}"/>
    <cellStyle name="Monétaire [0]_35heures" xfId="1232" xr:uid="{262DB826-FE09-46DB-960E-D2C01C4CAE32}"/>
    <cellStyle name="Monétaire_35heures" xfId="1233" xr:uid="{5210BD83-2DF8-4B02-A98C-EC393BA3B743}"/>
    <cellStyle name="mv02" xfId="1234" xr:uid="{853B2E38-28D8-40D1-A705-EAF958D59BA4}"/>
    <cellStyle name="mv12" xfId="1235" xr:uid="{59ADD080-8094-45E9-83DD-076D01C266F1}"/>
    <cellStyle name="mva03" xfId="1236" xr:uid="{B980E7AB-9A14-4FA5-8C77-6583B6E9AB81}"/>
    <cellStyle name="mva13" xfId="1237" xr:uid="{7ECA4D08-76B6-4DD0-9E72-4ED2DDBAAB0B}"/>
    <cellStyle name="Nadpis 1" xfId="1238" xr:uid="{8BBADE6C-5F22-43E9-B2DE-B13466B73207}"/>
    <cellStyle name="Nadpis 1 2" xfId="1239" xr:uid="{B8A1C73F-38F0-4EFB-9297-6F40400A86F9}"/>
    <cellStyle name="Nadpis 1 2 2" xfId="1240" xr:uid="{13D5AE71-9522-46B4-8BC8-8B8EFBADA675}"/>
    <cellStyle name="Nadpis 2" xfId="1241" xr:uid="{372CFB0D-EF1C-426A-9547-F70793D1A9D5}"/>
    <cellStyle name="Nadpis 2 2" xfId="1242" xr:uid="{750EBC2D-0A76-441B-BA03-8FCAF522774E}"/>
    <cellStyle name="Nadpis 2 2 2" xfId="1243" xr:uid="{EB1F6ABF-9F5F-43FF-A5F3-137FC58B38BE}"/>
    <cellStyle name="Nadpis 3" xfId="1244" xr:uid="{ACCC7D8D-A9A7-4D3F-86DD-A259C6E06F8E}"/>
    <cellStyle name="Nadpis 3 2" xfId="1245" xr:uid="{55183446-1C3D-4356-A347-0B09BC83FCB5}"/>
    <cellStyle name="Nadpis 3 2 2" xfId="1246" xr:uid="{F54DAD42-533F-44F0-8BE5-FCCECC81802C}"/>
    <cellStyle name="Nadpis 4" xfId="1247" xr:uid="{419C32B6-5E10-4D76-91BC-DE94E9B14409}"/>
    <cellStyle name="Nadpis 4 2" xfId="1248" xr:uid="{2B9AA10F-A867-4191-9D72-7A30FD4134CE}"/>
    <cellStyle name="Nadpis 4 2 2" xfId="1249" xr:uid="{F7C847C2-7BF4-4E64-B555-14A2D1724350}"/>
    <cellStyle name="nagłówek" xfId="1250" xr:uid="{01262061-8976-4489-AB60-23755CAED279}"/>
    <cellStyle name="Nagłówek 1" xfId="2" builtinId="16" customBuiltin="1"/>
    <cellStyle name="Nagłówek 1 2" xfId="1251" xr:uid="{50BA2987-668A-46FC-8C7F-B7B693615909}"/>
    <cellStyle name="Nagłówek 1 2 2" xfId="2186" xr:uid="{981CEAC6-F4F2-484B-AEEA-A1CB8CFFE1FF}"/>
    <cellStyle name="Nagłówek 1 3" xfId="1252" xr:uid="{1EDA3604-E733-441C-A6A9-EFA75D984D90}"/>
    <cellStyle name="Nagłówek 1 4" xfId="1253" xr:uid="{1719B61C-8711-470E-9E62-6C261EBFB92A}"/>
    <cellStyle name="Nagłówek 2" xfId="3" builtinId="17" customBuiltin="1"/>
    <cellStyle name="Nagłówek 2 2" xfId="1254" xr:uid="{08FA98FF-87DF-468F-B329-D305908BB7F8}"/>
    <cellStyle name="Nagłówek 2 2 2" xfId="2187" xr:uid="{EE5D65E2-DE13-4083-9ED9-1008E3105C59}"/>
    <cellStyle name="Nagłówek 2 3" xfId="1255" xr:uid="{2C7B6E0F-A5C7-4F80-9694-8FEF9E53BDAC}"/>
    <cellStyle name="Nagłówek 2 4" xfId="1256" xr:uid="{DE891527-DF2D-4239-A901-EFE61C62B72C}"/>
    <cellStyle name="Nagłówek 3" xfId="4" builtinId="18" customBuiltin="1"/>
    <cellStyle name="Nagłówek 3 2" xfId="1257" xr:uid="{B00FA32C-2FAC-42AB-B21E-BD7A774BCC1E}"/>
    <cellStyle name="Nagłówek 3 2 2" xfId="2188" xr:uid="{5575B1D5-C60E-4BC4-A039-2EF09567B54F}"/>
    <cellStyle name="Nagłówek 3 3" xfId="1258" xr:uid="{182A11C3-1C0F-44FB-8E5E-22B99D56F904}"/>
    <cellStyle name="Nagłówek 3 4" xfId="1259" xr:uid="{A58793D9-EC84-4B0B-A8B6-23D8F5BFBE7B}"/>
    <cellStyle name="Nagłówek 4" xfId="5" builtinId="19" customBuiltin="1"/>
    <cellStyle name="Nagłówek 4 2" xfId="1260" xr:uid="{E5F1EF62-DC9F-4D95-A089-65DCADCCF407}"/>
    <cellStyle name="Nagłówek 4 2 2" xfId="2189" xr:uid="{F8C84D90-1ED1-492B-8844-E93970A1743A}"/>
    <cellStyle name="Nagłówek 4 3" xfId="1261" xr:uid="{7EFC06AA-52CE-4088-B569-6B323DBDB6EE}"/>
    <cellStyle name="Nagłówek 4 4" xfId="1262" xr:uid="{AB72D269-6820-4E3A-AA41-27829CCFC5AC}"/>
    <cellStyle name="Název" xfId="1263" xr:uid="{B181E384-AC26-4055-93AB-5449DE74B95A}"/>
    <cellStyle name="Název 2" xfId="1264" xr:uid="{52B06A82-1E44-4F33-B256-F2F92BE74D56}"/>
    <cellStyle name="Název 2 2" xfId="1265" xr:uid="{B402169A-42E3-41CB-8077-3EF57CD42670}"/>
    <cellStyle name="Neutral" xfId="1266" xr:uid="{98239DEE-6E8B-4557-AFAD-56515694F67D}"/>
    <cellStyle name="Neutral 2" xfId="1267" xr:uid="{1FFF7BE2-6227-4E26-B6BA-CFA3F8276626}"/>
    <cellStyle name="Neutral 3" xfId="1268" xr:uid="{CD29C8B5-CAD7-458F-8412-C416F030B4B6}"/>
    <cellStyle name="Neutral_FAGOR" xfId="1269" xr:uid="{D6F1EEB4-B99F-4568-B0A3-6296098700A6}"/>
    <cellStyle name="Neutralne 2" xfId="1270" xr:uid="{F6F21369-B848-4BDC-94B3-8AE62ED4227F}"/>
    <cellStyle name="Neutralne 3" xfId="1271" xr:uid="{E6BC28A2-B0D9-4518-8B95-7F37D065D7F5}"/>
    <cellStyle name="Neutralne 4" xfId="1272" xr:uid="{F1BB7E64-915C-4273-9621-2C599228E3F5}"/>
    <cellStyle name="Neutrální" xfId="1273" xr:uid="{0404A6F8-44C3-4FD2-A7A6-7C26BE5B7CF7}"/>
    <cellStyle name="Neutrální 2" xfId="1274" xr:uid="{FCAD230E-1AFC-43AD-B6CC-CCB76769C9C7}"/>
    <cellStyle name="Neutrální 2 2" xfId="1275" xr:uid="{D0508A5C-BE49-4CED-BB9E-E17CBF3D346D}"/>
    <cellStyle name="Neutralny" xfId="8" builtinId="28" customBuiltin="1"/>
    <cellStyle name="Neutre" xfId="1276" xr:uid="{D87B22D6-61E5-46E4-9E34-D8413E8749A6}"/>
    <cellStyle name="Neutre 2" xfId="1277" xr:uid="{9BBA5E26-A4A9-428C-94B8-927F67836CD8}"/>
    <cellStyle name="Neutre_FAGOR" xfId="1278" xr:uid="{6338BB87-BE79-43CF-A59A-E82E98CC0EC4}"/>
    <cellStyle name="new format" xfId="1279" xr:uid="{523F0319-C021-49B4-B5DD-4BCDD14D954C}"/>
    <cellStyle name="new format 2" xfId="1280" xr:uid="{E7A2D77E-ACB3-48CE-AB9A-FAB9ADB81079}"/>
    <cellStyle name="new format 2 2" xfId="1281" xr:uid="{F5C9B7EF-8DBB-4EB4-8BE5-17AAD2636821}"/>
    <cellStyle name="new format 2_R1+ R2" xfId="1282" xr:uid="{AFBE44F9-03A5-419B-A67B-DE29BB8A3720}"/>
    <cellStyle name="new format 3" xfId="1283" xr:uid="{E1409352-509B-45F2-86F8-75A409603F4D}"/>
    <cellStyle name="new format_FAGOR" xfId="1284" xr:uid="{A85C2E0D-75E7-4230-A844-2B08EA6E28A6}"/>
    <cellStyle name="ng sign-offs.xls'!vrs" xfId="1285" xr:uid="{C533D536-77CD-4DCD-A36B-358967402B56}"/>
    <cellStyle name="no dec" xfId="1286" xr:uid="{AA1B0008-157C-4A4F-AD59-1EFC1C1F022E}"/>
    <cellStyle name="No-definido" xfId="1287" xr:uid="{F7CEC294-E441-4091-A0D9-7AA5E628BE9F}"/>
    <cellStyle name="No-definido 2" xfId="1288" xr:uid="{97D1E323-2014-4A44-9FB0-216D4C7F2B19}"/>
    <cellStyle name="No-definido_R1+ R2" xfId="1289" xr:uid="{FBDE41DF-617A-4D8C-ABD8-2DFF1063A4D2}"/>
    <cellStyle name="Nor}al" xfId="1290" xr:uid="{E15CFF19-EDE8-45FA-BE6C-F2DBC8770B94}"/>
    <cellStyle name="Nor}al 2" xfId="1291" xr:uid="{902D37AF-BFA6-461B-89F1-E6A0B12B2699}"/>
    <cellStyle name="Nor}al 2 2" xfId="1292" xr:uid="{2E572453-BF1D-40FB-A26D-F8150ABA8755}"/>
    <cellStyle name="Nor}al 2 2 2" xfId="1293" xr:uid="{BD4E6B19-A9E7-49D6-BBE1-855E227AD3A9}"/>
    <cellStyle name="Nor}al 2 3" xfId="1294" xr:uid="{3842E1ED-80FE-43A4-82DE-3BDDBDD42768}"/>
    <cellStyle name="Nor}al 2_R1+ R2" xfId="1295" xr:uid="{08D1BBD4-1DAE-42C3-B4EF-BFFEB2D7D3FA}"/>
    <cellStyle name="Nor}al 3" xfId="1296" xr:uid="{D625E3E1-F61F-4D00-96B3-7A04BE593093}"/>
    <cellStyle name="Nor}al 3 2" xfId="1297" xr:uid="{F59A8770-044A-4B07-8E62-5C6BC35F56D8}"/>
    <cellStyle name="Nor}al 4" xfId="1298" xr:uid="{0F7CEC72-C9F6-4843-82CC-E2C3FE08619F}"/>
    <cellStyle name="Nor}al_FAGOR" xfId="1299" xr:uid="{16FBA501-85A0-478B-86D8-BF1A1290F101}"/>
    <cellStyle name="Normal - Opmaakprofiel1" xfId="1300" xr:uid="{1E30A5AC-8349-42F3-B131-8A326DDA9E63}"/>
    <cellStyle name="Normal - Opmaakprofiel1 2" xfId="1301" xr:uid="{72C874B7-9757-42F0-96E2-28780903A661}"/>
    <cellStyle name="Normal - Opmaakprofiel1_FAGOR" xfId="1302" xr:uid="{21C22FD8-F797-40B1-9B54-066FE67DEEB8}"/>
    <cellStyle name="Normal - Opmaakprofiel2" xfId="1303" xr:uid="{1522CFC9-DE3A-4D5A-B228-6DA941018EA7}"/>
    <cellStyle name="Normal - Opmaakprofiel2 2" xfId="1304" xr:uid="{C6512D41-0CE6-4D21-920A-1D61A59B6674}"/>
    <cellStyle name="Normal - Opmaakprofiel2_FAGOR" xfId="1305" xr:uid="{DEF96296-116B-4885-970A-84D12B7CF833}"/>
    <cellStyle name="Normal - Opmaakprofiel3" xfId="1306" xr:uid="{0EA4AC9A-A3C5-4FBD-9B38-023C51A27897}"/>
    <cellStyle name="Normal - Opmaakprofiel3 2" xfId="1307" xr:uid="{6EBD5C4F-5812-488A-84CE-DC45F0584D87}"/>
    <cellStyle name="Normal - Opmaakprofiel3_FAGOR" xfId="1308" xr:uid="{B778121A-DAAC-41B3-AC3C-D3A9623CD8D2}"/>
    <cellStyle name="Normal - Opmaakprofiel4" xfId="1309" xr:uid="{87C0D650-5003-444B-A2B1-D45EC76381AD}"/>
    <cellStyle name="Normal - Opmaakprofiel4 2" xfId="1310" xr:uid="{71BD535F-96BF-4A87-AB7C-2D959EC3F03B}"/>
    <cellStyle name="Normal - Opmaakprofiel4_FAGOR" xfId="1311" xr:uid="{15E6F438-7A14-4D20-BCFB-DAA5EF00C71F}"/>
    <cellStyle name="Normal - Opmaakprofiel5" xfId="1312" xr:uid="{269AB29E-E2E9-4398-B6F9-391827FB8CCF}"/>
    <cellStyle name="Normal - Opmaakprofiel5 2" xfId="1313" xr:uid="{3A2FD414-FD7F-471D-9DD4-6C6452F6A8A8}"/>
    <cellStyle name="Normal - Opmaakprofiel5_FAGOR" xfId="1314" xr:uid="{A0D1CBA8-51D8-436C-A5F3-0B2CB0DFB5AB}"/>
    <cellStyle name="Normal - Opmaakprofiel6" xfId="1315" xr:uid="{5A06B154-6DE2-430A-8643-F92F02A825AC}"/>
    <cellStyle name="Normal - Opmaakprofiel6 2" xfId="1316" xr:uid="{BCA4CFD7-E64E-48B2-9807-7E9994D8187C}"/>
    <cellStyle name="Normal - Opmaakprofiel6_FAGOR" xfId="1317" xr:uid="{94C4CD84-CAF5-4F34-B79F-B658CAD8079E}"/>
    <cellStyle name="Normal - Opmaakprofiel7" xfId="1318" xr:uid="{294CEA83-2614-4438-AC9A-459BA6FFC241}"/>
    <cellStyle name="Normal - Opmaakprofiel7 2" xfId="1319" xr:uid="{AA102343-020B-440F-A0BD-FB318CCE5DEF}"/>
    <cellStyle name="Normal - Opmaakprofiel7_FAGOR" xfId="1320" xr:uid="{F8151C09-8500-48B2-BB1F-1ECF4421FAA8}"/>
    <cellStyle name="Normal - Opmaakprofiel8" xfId="1321" xr:uid="{E760487E-CB55-4E03-B6DB-14CB0E79C7D2}"/>
    <cellStyle name="Normal - Opmaakprofiel8 2" xfId="1322" xr:uid="{6C842697-AA6F-4F4D-9BA4-13BE2D9A689F}"/>
    <cellStyle name="Normal - Opmaakprofiel8_FAGOR" xfId="1323" xr:uid="{49AAFD78-696F-407A-AF69-391637EFA54A}"/>
    <cellStyle name="Normal - Styl1" xfId="1324" xr:uid="{7946A0F7-23FF-4009-B105-BA6A582D0364}"/>
    <cellStyle name="Normal - Styl1 2" xfId="1325" xr:uid="{22B0735E-CA2D-42E0-97B9-798F3D7D6E64}"/>
    <cellStyle name="Normal - Styl1_R1+ R2" xfId="1326" xr:uid="{264C5A69-889D-4FB2-8424-C0B9BFA5E494}"/>
    <cellStyle name="Normal - Styl2" xfId="1327" xr:uid="{42E5D0B7-D684-4DE8-A9DC-702B177508FB}"/>
    <cellStyle name="Normal - Styl2 2" xfId="1328" xr:uid="{AFB9E36B-D519-4597-A821-F1ABD142B495}"/>
    <cellStyle name="Normal - Styl2_R1+ R2" xfId="1329" xr:uid="{4797A056-346A-45B4-98EB-659176C62110}"/>
    <cellStyle name="Normal - Styl3" xfId="1330" xr:uid="{F102F819-CF3A-4CFA-A2B9-048FE365B7EF}"/>
    <cellStyle name="Normal - Styl3 2" xfId="1331" xr:uid="{B2730CFB-D146-4F7E-81CD-98CCB68297F4}"/>
    <cellStyle name="Normal - Styl3_R1+ R2" xfId="1332" xr:uid="{57CCD0CA-1FF6-4BD9-A20C-547EC77889BF}"/>
    <cellStyle name="Normal - Styl4" xfId="1333" xr:uid="{7376D32D-3E29-4583-BD66-CEA805F90A3D}"/>
    <cellStyle name="Normal - Styl4 2" xfId="1334" xr:uid="{BB5C69D8-10B0-4EC2-8AAF-1E3177A22081}"/>
    <cellStyle name="Normal - Styl4_R1+ R2" xfId="1335" xr:uid="{9D13628C-4042-4D97-8768-45724C106A87}"/>
    <cellStyle name="Normal - Styl5" xfId="1336" xr:uid="{9C6CC41F-EE68-4FDA-95E5-6DB33EB87F93}"/>
    <cellStyle name="Normal - Styl5 2" xfId="1337" xr:uid="{31CF9CBD-99D3-498F-BCF2-1CF36DCAD7BA}"/>
    <cellStyle name="Normal - Styl5_R1+ R2" xfId="1338" xr:uid="{76D490DF-5B31-41F4-9EB1-C4997709EF1D}"/>
    <cellStyle name="Normal - Styl6" xfId="1339" xr:uid="{3F2F87DD-937A-49D9-91E2-D2F8738DC5AB}"/>
    <cellStyle name="Normal - Styl6 2" xfId="1340" xr:uid="{70590A78-DFA6-4250-ABAC-2E150E52C3ED}"/>
    <cellStyle name="Normal - Styl6_R1+ R2" xfId="1341" xr:uid="{BBBEC2F6-78C3-42FA-9154-B5B73B8CD19C}"/>
    <cellStyle name="Normal - Styl7" xfId="1342" xr:uid="{98C8CEFB-3CFC-4FF3-908C-7FE79BB64C87}"/>
    <cellStyle name="Normal - Styl7 2" xfId="1343" xr:uid="{27785DAB-43C4-476C-BE01-0507546C8404}"/>
    <cellStyle name="Normal - Styl7_R1+ R2" xfId="1344" xr:uid="{E4BF98D8-8FF1-4CBE-8938-49195BBCA61B}"/>
    <cellStyle name="Normal - Style1" xfId="1345" xr:uid="{ED6FA11E-71E6-4C66-A67E-E032F4D0E8AE}"/>
    <cellStyle name="Normal - Style1 2" xfId="1346" xr:uid="{A08AC1F3-4316-44AD-9E9F-FD383B8F6BED}"/>
    <cellStyle name="Normal - Style1 2 2" xfId="1347" xr:uid="{188DA043-E473-4DC7-A8D2-2361AEF8150D}"/>
    <cellStyle name="Normal - Style1 2 2 2" xfId="1348" xr:uid="{7FDF6B0C-A69D-4418-BD54-11217109C3CD}"/>
    <cellStyle name="Normal - Style1 2 3" xfId="1349" xr:uid="{40E8FC3E-2E22-4198-970E-70613036AF33}"/>
    <cellStyle name="Normal - Style1 2_R1+ R2" xfId="1350" xr:uid="{58AD8DEE-FAC7-4026-AF6A-BCE950105745}"/>
    <cellStyle name="Normal - Style1 3" xfId="1351" xr:uid="{92C32E39-D2C8-4A83-874A-7DFC515B8894}"/>
    <cellStyle name="Normal - Style1 3 2" xfId="1352" xr:uid="{A4BCFF54-A04D-44E3-B8FD-6E81DA7128A8}"/>
    <cellStyle name="Normal - Style1 4" xfId="1353" xr:uid="{6EC14833-0B41-4D55-A43B-F4DFAD05F7C5}"/>
    <cellStyle name="Normal - Style1_FAGOR" xfId="1354" xr:uid="{5BCE67EA-649F-4EB7-AA5C-08C036BC061F}"/>
    <cellStyle name="Normal 2" xfId="1355" xr:uid="{F44E9E48-8DB2-44C6-A4E6-F4344D966F90}"/>
    <cellStyle name="Normal 2 2" xfId="1356" xr:uid="{85D299E4-DEC1-45B0-A849-6A605453015C}"/>
    <cellStyle name="Normal 2_FAGOR" xfId="1357" xr:uid="{0094074F-745C-4B9E-B6E9-D84EFE98F3BD}"/>
    <cellStyle name="Normál_Budget 2008-09" xfId="1358" xr:uid="{F95C4CC7-CBCA-4A55-8990-E2BEA48E8B11}"/>
    <cellStyle name="Normal_Questionnaire_18_01_2009" xfId="1359" xr:uid="{4072F0E9-5AD7-40A3-BD88-A18E29B38AAE}"/>
    <cellStyle name="Normale_060606_Inventories_monthly request" xfId="1360" xr:uid="{DD57BF34-864A-4F4B-9313-AEEFCCD070F3}"/>
    <cellStyle name="Normální 10" xfId="1361" xr:uid="{44214887-B1F6-418F-9368-8F8428E3D8FD}"/>
    <cellStyle name="Normální 10 2" xfId="1362" xr:uid="{7CB685EB-7260-4D50-BCE1-85BDAD0CA9D8}"/>
    <cellStyle name="Normální 11" xfId="1363" xr:uid="{ABBD9D8C-1F42-42DD-B086-87BE225ED833}"/>
    <cellStyle name="Normální 11 2" xfId="1364" xr:uid="{ED5FC303-3F69-40AC-82F8-0925124254FE}"/>
    <cellStyle name="Normální 12" xfId="1365" xr:uid="{AFA172A4-425C-4406-BFD5-BD00C20F8408}"/>
    <cellStyle name="Normální 12 2" xfId="1366" xr:uid="{F2279B64-BF42-4AAD-9E90-86E8906080A7}"/>
    <cellStyle name="Normální 13" xfId="1367" xr:uid="{C1B4738A-8F2E-4781-B454-211B29AA806A}"/>
    <cellStyle name="Normální 13 2" xfId="1368" xr:uid="{69DCB4D7-461A-48C1-BB3D-48392BAD02BD}"/>
    <cellStyle name="Normální 14" xfId="1369" xr:uid="{6CC84883-82C5-4A3C-92DA-630E4E57F204}"/>
    <cellStyle name="Normální 14 2" xfId="1370" xr:uid="{DBA2AB4B-5296-4637-8BB2-0903043A21BE}"/>
    <cellStyle name="Normální 15" xfId="1371" xr:uid="{69780173-2913-48F5-AC83-BB8770B3B069}"/>
    <cellStyle name="Normální 15 2" xfId="1372" xr:uid="{2B70F374-4508-4C31-8039-1C0C510E44D9}"/>
    <cellStyle name="Normální 16" xfId="1373" xr:uid="{E7FC73C9-3685-44DC-A5B6-595B86BD698C}"/>
    <cellStyle name="Normální 16 2" xfId="1374" xr:uid="{770AE183-9B12-49EC-A8C6-BDE343BD18F6}"/>
    <cellStyle name="Normální 17" xfId="1375" xr:uid="{1B97320B-85C9-4348-B721-4B36BCDECA90}"/>
    <cellStyle name="Normální 17 2" xfId="1376" xr:uid="{799B341B-7C9C-4E34-80B8-DCD2471BEB9A}"/>
    <cellStyle name="Normální 18" xfId="1377" xr:uid="{CDAE279C-2A7B-4706-AEEB-99425DF9005B}"/>
    <cellStyle name="Normální 18 2" xfId="1378" xr:uid="{6DCF0D20-C85E-4E21-A881-67D71F4D6DE7}"/>
    <cellStyle name="Normální 19" xfId="1379" xr:uid="{CFCC4F19-0217-457D-8FB3-75111110A5BE}"/>
    <cellStyle name="Normální 19 2" xfId="1380" xr:uid="{5466AC95-124F-42B5-8279-AFFDAF4E651C}"/>
    <cellStyle name="Normální 2" xfId="1381" xr:uid="{FF4664E9-369D-49CA-8E51-BC74F4CC5310}"/>
    <cellStyle name="Normální 2 2" xfId="43" xr:uid="{A860D5B6-8F73-48FE-9A15-5DE3AD232D83}"/>
    <cellStyle name="Normální 2 3" xfId="1382" xr:uid="{8A3B5CF2-A3C7-4814-A76E-811149410700}"/>
    <cellStyle name="Normální 20" xfId="1383" xr:uid="{BBF8C5E5-45FB-4F4E-9B7C-81038A42D15E}"/>
    <cellStyle name="Normální 20 2" xfId="1384" xr:uid="{D6DE6345-7452-4F7A-B864-4A134A60540C}"/>
    <cellStyle name="Normální 21" xfId="1385" xr:uid="{FF3D158B-0762-4267-84B8-11F1671FD2C3}"/>
    <cellStyle name="Normální 21 2" xfId="1386" xr:uid="{EC92A7B4-99B9-4742-A715-ACACB3E80FD0}"/>
    <cellStyle name="Normální 22" xfId="1387" xr:uid="{AC532F8E-50CD-48A0-83C2-C3E85EE3B1D1}"/>
    <cellStyle name="Normální 22 2" xfId="1388" xr:uid="{10605031-B15D-4C49-8BAE-AAB31897A66E}"/>
    <cellStyle name="Normální 23" xfId="1389" xr:uid="{DFAA8B89-3D54-4D78-8CC1-18B66403659E}"/>
    <cellStyle name="Normální 23 2" xfId="1390" xr:uid="{3767AFC1-C238-4A4C-AF1C-6815DC82C624}"/>
    <cellStyle name="Normální 24" xfId="1391" xr:uid="{5606F0D0-01FB-449B-8F62-322A16E7F0BB}"/>
    <cellStyle name="Normální 24 2" xfId="1392" xr:uid="{81BE3794-1C39-4C10-9C00-861117E5EA60}"/>
    <cellStyle name="Normální 25" xfId="1393" xr:uid="{EE8A1FAA-F6D8-43C4-B8AD-163D15BF7641}"/>
    <cellStyle name="Normální 25 2" xfId="1394" xr:uid="{B0942C12-F4F9-45A7-8595-36B14CCDF511}"/>
    <cellStyle name="Normální 26" xfId="1395" xr:uid="{6ECDE0E4-7102-474A-90BA-171A376B4A18}"/>
    <cellStyle name="Normální 26 2" xfId="1396" xr:uid="{DF0E418B-67C7-423D-B4A9-9C1E5151C411}"/>
    <cellStyle name="Normální 27" xfId="1397" xr:uid="{ECC32024-3A96-416D-AF55-5613A430720C}"/>
    <cellStyle name="Normální 27 2" xfId="1398" xr:uid="{50419355-A136-4013-9B65-C3E1411F99F6}"/>
    <cellStyle name="Normální 28" xfId="1399" xr:uid="{E9926EF0-C298-4B7A-B379-CD37B556EDCF}"/>
    <cellStyle name="Normální 28 2" xfId="1400" xr:uid="{8A554735-AA83-4F71-A1C9-0BB3629CC197}"/>
    <cellStyle name="Normální 29" xfId="1401" xr:uid="{2DBC46F5-0F9E-48D1-BD72-C9DCA19B7C8D}"/>
    <cellStyle name="Normální 29 2" xfId="1402" xr:uid="{63D7803C-D72E-4CA5-BD46-7455CC8CBC6A}"/>
    <cellStyle name="Normální 3" xfId="1403" xr:uid="{974EB4E0-3EBB-4D6F-952F-85A7547C7906}"/>
    <cellStyle name="Normální 3 2" xfId="1404" xr:uid="{113D2A71-1B69-452B-8DB6-B3A46351312A}"/>
    <cellStyle name="Normální 3 2 2" xfId="1405" xr:uid="{FD506AAB-B3D4-468F-AD08-B13636A4557E}"/>
    <cellStyle name="Normální 3 3" xfId="1406" xr:uid="{1BFE37F3-06C7-4B52-8F0D-B6D47AAEB3AB}"/>
    <cellStyle name="Normální 30" xfId="1407" xr:uid="{50EFE0AC-B29C-4655-BCCC-90351234D579}"/>
    <cellStyle name="Normální 30 2" xfId="1408" xr:uid="{74940501-6BD9-4898-8977-50B3DF464F62}"/>
    <cellStyle name="Normální 31" xfId="1409" xr:uid="{F4F3F073-0EFF-4C3C-81B3-815DF7B4FEC8}"/>
    <cellStyle name="Normální 31 2" xfId="1410" xr:uid="{E3906DA4-7B46-44FE-A924-150DC79BE701}"/>
    <cellStyle name="Normální 32" xfId="1411" xr:uid="{58F0757C-C2AD-44A2-9D36-8806C28950D3}"/>
    <cellStyle name="Normální 32 2" xfId="1412" xr:uid="{FB046F7D-10CF-490A-A462-84DAD9891FEC}"/>
    <cellStyle name="Normální 33" xfId="1413" xr:uid="{47B612E4-5A6D-42BA-BB2B-90D975AFD594}"/>
    <cellStyle name="Normální 33 2" xfId="1414" xr:uid="{6503714C-EA75-41C1-B894-E1DDF46FFFC8}"/>
    <cellStyle name="Normální 34" xfId="1415" xr:uid="{184415E8-785C-4E5D-B441-7B2EA5C56944}"/>
    <cellStyle name="Normální 34 2" xfId="1416" xr:uid="{BF69A31E-FC93-48F8-9A89-D26EED70C74E}"/>
    <cellStyle name="Normální 35" xfId="1417" xr:uid="{A1E062E9-D34F-460E-857F-FA4F7AD86217}"/>
    <cellStyle name="Normální 35 2" xfId="1418" xr:uid="{10B33238-CCB4-4976-8422-54FAAC31611F}"/>
    <cellStyle name="Normální 36" xfId="1419" xr:uid="{190FBB2E-32C7-404C-AE90-B324C68F60CE}"/>
    <cellStyle name="Normální 36 2" xfId="1420" xr:uid="{F8B25662-2573-48B1-935C-D60E64B18118}"/>
    <cellStyle name="Normální 37" xfId="1421" xr:uid="{D5D0708A-BC54-4E73-A3AC-57AD1F09635C}"/>
    <cellStyle name="Normální 37 2" xfId="1422" xr:uid="{64130EAA-6704-4A0A-9CE5-F61F51F63A2A}"/>
    <cellStyle name="Normální 38" xfId="1423" xr:uid="{F98D024E-C9B8-4B07-8C48-22C43DBC11D7}"/>
    <cellStyle name="Normální 38 2" xfId="1424" xr:uid="{66247FB9-0B9E-45CF-8C95-CD4693FD5740}"/>
    <cellStyle name="Normální 39" xfId="1425" xr:uid="{46459F97-3CAD-4260-8DBF-5140BA2F431E}"/>
    <cellStyle name="Normální 39 2" xfId="1426" xr:uid="{53F725F2-E0D6-4960-A507-3C43BA017BD7}"/>
    <cellStyle name="Normální 4" xfId="1427" xr:uid="{4E811359-C5D3-4C60-B9CA-BAE5F91A3B3F}"/>
    <cellStyle name="Normální 4 2" xfId="1428" xr:uid="{1FFA4DB7-2A86-4074-B30B-04FD14BCDC17}"/>
    <cellStyle name="Normální 40" xfId="1429" xr:uid="{4F64A568-AD23-4B30-B1EC-07C99541F53C}"/>
    <cellStyle name="Normální 40 2" xfId="1430" xr:uid="{BF2B4BB1-D600-4CAA-9567-E6842B90B228}"/>
    <cellStyle name="Normální 41" xfId="1431" xr:uid="{945C1543-60D0-44F3-8AA5-C3D3151B37D0}"/>
    <cellStyle name="Normální 41 2" xfId="1432" xr:uid="{B2BC9733-DCA3-424D-89FE-756750D3541E}"/>
    <cellStyle name="Normální 42" xfId="1433" xr:uid="{7D2CE1EB-5D7E-4B64-93D2-F5EFA7F88790}"/>
    <cellStyle name="Normální 42 2" xfId="1434" xr:uid="{AF2F103E-1E5F-4CA2-86CF-77417C3BDEC0}"/>
    <cellStyle name="Normální 5" xfId="1435" xr:uid="{EEBE9E80-3A5C-451D-B49D-35D03EDF6F29}"/>
    <cellStyle name="Normální 5 2" xfId="1436" xr:uid="{AEFAB87F-1BA2-48D1-BCD6-6607307DE3A5}"/>
    <cellStyle name="Normální 6" xfId="1437" xr:uid="{4FE03906-B976-4224-BB47-6DAC47C83494}"/>
    <cellStyle name="Normální 6 2" xfId="1438" xr:uid="{7B288A48-58B7-4DD9-A55C-36FA364A5175}"/>
    <cellStyle name="Normální 7" xfId="1439" xr:uid="{6205FB4D-05BC-4D06-BE7F-6B4FF3904E7F}"/>
    <cellStyle name="Normální 7 2" xfId="1440" xr:uid="{769BB990-B1C0-43AB-A4DA-E1FD1EC3DB2F}"/>
    <cellStyle name="Normální 8" xfId="1441" xr:uid="{9548F9E9-1348-4826-BB78-965CF0399181}"/>
    <cellStyle name="Normální 8 2" xfId="1442" xr:uid="{2FF9FB90-DD48-433B-87FF-1ACEF75D71B4}"/>
    <cellStyle name="Normální 9" xfId="1443" xr:uid="{AEE38E86-7C1D-42A5-91A7-4C14EC7EEBDA}"/>
    <cellStyle name="Normální 9 2" xfId="1444" xr:uid="{68EEE02D-2990-4D93-81E7-59878B898F05}"/>
    <cellStyle name="normální_2012_denní výhled_163_3Q_1" xfId="1445" xr:uid="{A308273E-601B-4153-A736-3A1663B71B5B}"/>
    <cellStyle name="Normalny" xfId="0" builtinId="0"/>
    <cellStyle name="Normalny 10" xfId="49" xr:uid="{26E9908E-0441-40E4-B8C6-81CA204D62B6}"/>
    <cellStyle name="Normalny 10 2" xfId="2205" xr:uid="{D3DD62D0-8546-4D8F-A654-059F5260CCCF}"/>
    <cellStyle name="Normalny 10 3" xfId="2345" xr:uid="{BAFE9C53-A5E2-49F4-B7B0-6AFED4F68F54}"/>
    <cellStyle name="Normalny 10 4" xfId="2403" xr:uid="{7F32FE34-BA4A-4FEA-A730-5DF42A6263C3}"/>
    <cellStyle name="Normalny 11" xfId="2207" xr:uid="{3F30B03B-682C-4A93-827A-3C37AE17C14C}"/>
    <cellStyle name="Normalny 11 2" xfId="2347" xr:uid="{05ECEAFE-1386-468C-BBD4-B3916B229004}"/>
    <cellStyle name="Normalny 11 3" xfId="2405" xr:uid="{A03255E3-82FE-46E2-92AE-7F44549279A4}"/>
    <cellStyle name="Normalny 12" xfId="2209" xr:uid="{00C6FD6B-8B38-4F93-A08B-18BFCDB2D4B5}"/>
    <cellStyle name="Normalny 12 2" xfId="2349" xr:uid="{05C5AC14-802A-481A-9281-764AF04D276A}"/>
    <cellStyle name="Normalny 12 3" xfId="2407" xr:uid="{54F44751-01BA-4BD4-8DE7-7A51AF01DC57}"/>
    <cellStyle name="Normalny 13" xfId="2208" xr:uid="{48F4AF3A-91D4-42B4-83F9-8D611CEDB5E4}"/>
    <cellStyle name="Normalny 13 2" xfId="2348" xr:uid="{0DFF9E2C-EA5C-4420-9DF8-C5E2D0142A1A}"/>
    <cellStyle name="Normalny 13 3" xfId="2406" xr:uid="{30146FA7-4F0B-4F19-B3D8-27C3BD16664B}"/>
    <cellStyle name="Normalny 14" xfId="2211" xr:uid="{61C401E6-BE90-45BC-A81C-9219CBEA0B25}"/>
    <cellStyle name="Normalny 14 2" xfId="2351" xr:uid="{2C2EB5F1-3E54-49A5-BDDA-B25C0939F451}"/>
    <cellStyle name="Normalny 14 3" xfId="2409" xr:uid="{BA27F1B9-6EFE-4AD3-914B-30757EFC9937}"/>
    <cellStyle name="Normalny 15" xfId="2143" xr:uid="{04A61327-A884-44DF-94F2-06F92016F05E}"/>
    <cellStyle name="Normalny 15 2" xfId="2296" xr:uid="{96FE81B9-C1BA-4C6B-ADF2-5F91B50F2DC1}"/>
    <cellStyle name="Normalny 15 3" xfId="2360" xr:uid="{23D99E6C-9297-4681-8D5D-297187AD0587}"/>
    <cellStyle name="Normalny 15 4" xfId="2374" xr:uid="{631C384C-9B6D-4459-A85E-5A09BC4E1BE8}"/>
    <cellStyle name="Normalny 16" xfId="2166" xr:uid="{94D9FD8B-6466-41DC-9B1C-43433E5D12E8}"/>
    <cellStyle name="Normalny 17" xfId="2136" xr:uid="{439E4983-A555-412B-AFF6-4B140391B3B4}"/>
    <cellStyle name="Normalny 18" xfId="2278" xr:uid="{C6F1161D-51CC-4132-B642-FC2AAA92A2C0}"/>
    <cellStyle name="Normalny 19" xfId="2355" xr:uid="{AF935751-E958-44D7-A898-4BC50F54130D}"/>
    <cellStyle name="Normalny 2" xfId="45" xr:uid="{9D8239CA-76A6-460F-84C4-4ED7B14F45E5}"/>
    <cellStyle name="Normalny 2 2" xfId="50" xr:uid="{853729C3-BF1D-4A3E-AD38-9625BC126509}"/>
    <cellStyle name="Normalny 2 2 2" xfId="1446" xr:uid="{6617DBBA-51EA-422D-BAF8-F037CE4E559B}"/>
    <cellStyle name="Normalny 2 3" xfId="1447" xr:uid="{F06D278E-59D4-4608-BD0F-51A395332F34}"/>
    <cellStyle name="Normalny 2 3 2" xfId="2029" xr:uid="{48BA1512-5195-47CB-94BC-2BD425B919B9}"/>
    <cellStyle name="Normalny 2 3 2 2" xfId="2240" xr:uid="{BDB39118-0CFC-45E0-B72A-2890152D119A}"/>
    <cellStyle name="Normalny 2 3 2 3" xfId="2318" xr:uid="{A26B8683-19C0-423D-9282-3E8781B82B49}"/>
    <cellStyle name="Normalny 2 3 2 4" xfId="2366" xr:uid="{1362979B-F2A4-49EF-B961-CEBA4F14FECE}"/>
    <cellStyle name="Normalny 2 4" xfId="1448" xr:uid="{F68E916C-8849-49D7-A354-2C71583C1C3C}"/>
    <cellStyle name="Normalny 2 5" xfId="1449" xr:uid="{7F2A9E16-B935-4371-8835-6E35073FEAAA}"/>
    <cellStyle name="Normalny 2 6" xfId="2059" xr:uid="{5F368FB2-2178-4B35-8A82-C557F23CFA1D}"/>
    <cellStyle name="Normalny 2 7" xfId="2088" xr:uid="{DDD8302E-6D9D-4C3F-969B-ED5EDDAB2BA9}"/>
    <cellStyle name="Normalny 2 8" xfId="2168" xr:uid="{4FD96166-A6A9-4A68-A53E-3F2EB0BDBCCC}"/>
    <cellStyle name="Normalny 2 9" xfId="2393" xr:uid="{95F73220-5932-4566-BEB5-9335B082EB3E}"/>
    <cellStyle name="Normalny 20" xfId="2210" xr:uid="{F7D2536C-0915-4AFD-89DC-2499F60B5C18}"/>
    <cellStyle name="Normalny 20 2" xfId="2350" xr:uid="{CC3EAE11-DB3B-4F19-A2C3-00C24C2A1536}"/>
    <cellStyle name="Normalny 20 3" xfId="2408" xr:uid="{385CD00E-3E85-449B-A02F-826425DCE1C6}"/>
    <cellStyle name="Normalny 21" xfId="2367" xr:uid="{5915E6BC-2FC6-4D66-AC38-7D6F63C7B1AE}"/>
    <cellStyle name="Normalny 23" xfId="2214" xr:uid="{8E59915D-DE67-4F3E-AFA6-507600D4F187}"/>
    <cellStyle name="Normalny 23 2" xfId="2297" xr:uid="{3ABF7174-6264-4D61-906C-8EB32AD8799D}"/>
    <cellStyle name="Normalny 23 3" xfId="2361" xr:uid="{72134CA1-6529-458A-9910-4847C9F6B54B}"/>
    <cellStyle name="Normalny 23 4" xfId="2412" xr:uid="{4344E4D7-9068-4625-8E50-17FC2532F4F7}"/>
    <cellStyle name="Normalny 3" xfId="44" xr:uid="{83BBA7A0-72D7-43E0-84B3-41A08B823225}"/>
    <cellStyle name="Normalny 3 2" xfId="1450" xr:uid="{17495B12-57EB-4462-A825-C825601BCA32}"/>
    <cellStyle name="Normalny 3 2 2" xfId="1451" xr:uid="{56B8B485-A57C-4E69-A015-B0E9F32199BB}"/>
    <cellStyle name="Normalny 3 2 3" xfId="2038" xr:uid="{AD034A6C-1801-4F80-A73B-9B515C1119B8}"/>
    <cellStyle name="Normalny 3 2 4" xfId="2286" xr:uid="{F248E101-5DBD-496D-B2AB-1D08856A8881}"/>
    <cellStyle name="Normalny 3 3" xfId="1452" xr:uid="{63EBB61B-240B-4CEF-9CAC-B24D07F2D92E}"/>
    <cellStyle name="Normalny 3 4" xfId="2022" xr:uid="{3161C298-3D12-4039-86FE-5852E32A2D8C}"/>
    <cellStyle name="Normalny 3 5" xfId="51" xr:uid="{DAE4554F-CF06-400C-918B-922662CEE7B9}"/>
    <cellStyle name="Normalny 3 6" xfId="2139" xr:uid="{A5016C19-5D46-4DF0-9CA9-133F115B2A7B}"/>
    <cellStyle name="Normalny 3 7" xfId="2357" xr:uid="{79140C38-6880-4BD9-8FC7-C54D0C7593B1}"/>
    <cellStyle name="Normalny 3 8" xfId="2370" xr:uid="{77AE8D19-8C95-4632-9DCE-5D2115F77462}"/>
    <cellStyle name="Normalny 3_R1+ R2" xfId="1453" xr:uid="{0226CABD-80DF-4505-A85B-89E8C74A0961}"/>
    <cellStyle name="Normalny 32" xfId="2217" xr:uid="{773D5C2D-2FFE-4837-9B10-31378ED4BFD4}"/>
    <cellStyle name="Normalny 32 2" xfId="2302" xr:uid="{2AF23280-5F71-4B21-844F-6EE336E0FECC}"/>
    <cellStyle name="Normalny 32 3" xfId="2362" xr:uid="{0EBADDD6-1306-4AC6-B703-E0292D7D0D05}"/>
    <cellStyle name="Normalny 32 4" xfId="2415" xr:uid="{DF1E9691-073E-42FE-BF94-84FAEF8EFFFB}"/>
    <cellStyle name="Normalny 33" xfId="2219" xr:uid="{DCF622C8-2F7E-4458-8A14-026FDEF2A6B3}"/>
    <cellStyle name="Normalny 33 2" xfId="2303" xr:uid="{5F27C701-98CB-422B-AC5A-CF7769049A02}"/>
    <cellStyle name="Normalny 33 3" xfId="2363" xr:uid="{0A34454A-CCBC-4FEE-811F-72CB9A8D1A3B}"/>
    <cellStyle name="Normalny 33 4" xfId="2417" xr:uid="{04F1F495-5EE8-4FCF-B709-A95C5F1058D0}"/>
    <cellStyle name="Normalny 34" xfId="2222" xr:uid="{837228A9-F809-4C3B-91B7-F1D35F336DFB}"/>
    <cellStyle name="Normalny 34 2" xfId="2306" xr:uid="{1E8598AC-D0CE-4169-904E-3906881DF884}"/>
    <cellStyle name="Normalny 34 3" xfId="2364" xr:uid="{5F9C9F84-E537-45B2-A666-EF8733093BAA}"/>
    <cellStyle name="Normalny 34 4" xfId="2420" xr:uid="{37CDB12F-6EE7-46AA-BF55-73DFE8C9A30C}"/>
    <cellStyle name="Normalny 36" xfId="2228" xr:uid="{2EDEFCE7-998E-48CF-B239-3171E0CF71F9}"/>
    <cellStyle name="Normalny 36 2" xfId="2312" xr:uid="{8F12F0C0-985A-4DAF-882D-3B94A6FB3DD2}"/>
    <cellStyle name="Normalny 36 3" xfId="2365" xr:uid="{83B00B45-25BC-494A-B5DA-02CD3C815879}"/>
    <cellStyle name="Normalny 36 4" xfId="2421" xr:uid="{CA71B78A-A342-48B0-A0C4-186DB7B441B2}"/>
    <cellStyle name="Normalny 4" xfId="41" xr:uid="{903E725E-7569-4BA0-A0C6-9865985CB067}"/>
    <cellStyle name="Normalny 4 2" xfId="1454" xr:uid="{DB76209A-0405-4164-ADD1-0B33C1C88723}"/>
    <cellStyle name="Normalny 4 2 2" xfId="2032" xr:uid="{DF350073-79CE-4B36-8E56-80503B426228}"/>
    <cellStyle name="Normalny 4 2 3" xfId="2146" xr:uid="{4E5DF83B-33A4-4995-8120-FC401DA32E34}"/>
    <cellStyle name="Normalny 4 3" xfId="2023" xr:uid="{6CBB03E4-5EBB-4EB1-B786-8B698E19E710}"/>
    <cellStyle name="Normalny 4 4" xfId="2140" xr:uid="{03D98C7B-BA33-41EB-9E48-47D8FCA5221E}"/>
    <cellStyle name="Normalny 4 5" xfId="2269" xr:uid="{4A2E4F0C-82B4-40E6-8206-2ECCB8CB87BB}"/>
    <cellStyle name="Normalny 4 6" xfId="2289" xr:uid="{0F357D6B-3FF6-44A3-9EC5-B777A03B6E89}"/>
    <cellStyle name="Normalny 4 7" xfId="2358" xr:uid="{44006721-ABE3-4A7E-BDCD-F28C68FEAC32}"/>
    <cellStyle name="Normalny 4 8" xfId="2371" xr:uid="{186F3C6C-372A-447B-A221-A93794F0DA40}"/>
    <cellStyle name="Normalny 5" xfId="54" xr:uid="{E94A7CF8-444A-4173-9E41-D131E5144B60}"/>
    <cellStyle name="Normalny 5 2" xfId="2034" xr:uid="{14FDBEF6-7D15-4CB5-9A28-875446E4714D}"/>
    <cellStyle name="Normalny 5 3" xfId="2025" xr:uid="{5C6894C6-B895-44F1-B521-DA3A24E0822B}"/>
    <cellStyle name="Normalny 5 4" xfId="2172" xr:uid="{695F785E-0539-4ADC-85EA-E47E3C19A52C}"/>
    <cellStyle name="Normalny 5 5" xfId="2342" xr:uid="{0762012C-949F-4BD2-82DA-A9DDD75439F2}"/>
    <cellStyle name="Normalny 5 6" xfId="2397" xr:uid="{79AB3F1A-8F19-4A30-AD51-56A80CF1C844}"/>
    <cellStyle name="Normalny 6" xfId="1455" xr:uid="{D98DA61F-1D7F-48F3-8566-8D60CA90FA06}"/>
    <cellStyle name="Normalny 6 2" xfId="2036" xr:uid="{B32003D1-4597-4621-A5F3-5079960727C0}"/>
    <cellStyle name="Normalny 6 2 2" xfId="2174" xr:uid="{03A53EF1-4E55-40A7-BCA2-8856FA34C597}"/>
    <cellStyle name="Normalny 6 3" xfId="2142" xr:uid="{E76AB0A2-82CF-42E1-94D8-2CA46283D648}"/>
    <cellStyle name="Normalny 6 4" xfId="2295" xr:uid="{204A817B-46F3-47E3-9493-A2D95C02EE06}"/>
    <cellStyle name="Normalny 6 5" xfId="2359" xr:uid="{7DF82D4E-CF6E-44D4-9C33-70ED4A999BF9}"/>
    <cellStyle name="Normalny 6 6" xfId="2373" xr:uid="{A311ED9C-88ED-43EC-95E6-8345F21D26EC}"/>
    <cellStyle name="Normalny 68" xfId="2353" xr:uid="{57D52B70-67B0-469E-97E7-A5A2D7CFE76A}"/>
    <cellStyle name="Normalny 7" xfId="1456" xr:uid="{7374C240-07D9-4E52-B629-733B1C0BE343}"/>
    <cellStyle name="Normalny 7 2" xfId="1457" xr:uid="{0D0A7A7A-0F58-4FDA-861D-5EA8E2DB3AAF}"/>
    <cellStyle name="Normalny 7 3" xfId="2196" xr:uid="{2CE3F3C4-B718-44EB-9544-10622109A767}"/>
    <cellStyle name="Normalny 7 4" xfId="2343" xr:uid="{E33C1046-8D29-4B8C-B913-05802CC9CA58}"/>
    <cellStyle name="Normalny 7 5" xfId="2399" xr:uid="{0391DCA8-DD0A-47FD-B357-191FF255BEFA}"/>
    <cellStyle name="Normalny 71" xfId="2354" xr:uid="{ABEEFBE8-AA8C-4FAD-8C5C-A55435B6AED1}"/>
    <cellStyle name="Normalny 8" xfId="1458" xr:uid="{AC5600FB-9739-49BF-8D82-894B407A7A2E}"/>
    <cellStyle name="Normalny 8 2" xfId="2019" xr:uid="{CC15A1E7-423D-4845-BC40-8B2424DCC838}"/>
    <cellStyle name="Normalny 8 3" xfId="2203" xr:uid="{1DD8CC52-6F50-464F-9B8B-B6124CC7BEF0}"/>
    <cellStyle name="Normalny 8 4" xfId="2344" xr:uid="{F91C33D8-1494-4F40-98D9-ADBF322C1F41}"/>
    <cellStyle name="Normalny 8 5" xfId="2401" xr:uid="{3ABC2965-535C-41FB-BD1C-C8426B82292F}"/>
    <cellStyle name="Normalny 9" xfId="53" xr:uid="{FA837487-355C-47F4-8017-92974C242687}"/>
    <cellStyle name="Normalny 9 2" xfId="2206" xr:uid="{55B1994C-CB20-419E-89EB-E7E5BBB412E5}"/>
    <cellStyle name="Normalny 9 3" xfId="2346" xr:uid="{5477E532-5941-4E76-80AF-249872569985}"/>
    <cellStyle name="Normalny 9 4" xfId="2404" xr:uid="{B55F374C-EE02-4329-A116-13DA70023B13}"/>
    <cellStyle name="Note" xfId="1459" xr:uid="{0C38D4E6-0582-4683-89A0-BD2FE71692D3}"/>
    <cellStyle name="Note 2" xfId="1460" xr:uid="{F26D6148-786E-4ACB-8760-31606164E820}"/>
    <cellStyle name="Note 2 2" xfId="1461" xr:uid="{D34FCB92-942E-4007-8892-9961FE2B9D5E}"/>
    <cellStyle name="Note 2 2 2" xfId="1462" xr:uid="{47920085-92AD-4634-BAC5-7C678948F044}"/>
    <cellStyle name="Note 2 3" xfId="1463" xr:uid="{1BCC9593-2B17-44ED-BF57-84FE0F56C1E0}"/>
    <cellStyle name="Note 3" xfId="1464" xr:uid="{E9D2771A-D4A5-4FA8-AAC4-4E67B1F18CA8}"/>
    <cellStyle name="Note 3 2" xfId="1465" xr:uid="{42C2060A-DDCE-4856-AA1F-DABB4C9F0144}"/>
    <cellStyle name="Note 4" xfId="1466" xr:uid="{B8226E5D-A0A9-4537-AA96-9FB955240395}"/>
    <cellStyle name="Notiz" xfId="1467" xr:uid="{DAE4DD81-3067-44A2-9766-A28E945D11F2}"/>
    <cellStyle name="Notiz 2" xfId="1468" xr:uid="{649FBFBA-DF20-44E8-B6FC-5404B536849B}"/>
    <cellStyle name="Notiz 2 2" xfId="1469" xr:uid="{36C75540-89ED-4603-B87C-AAFC45E3DB5D}"/>
    <cellStyle name="Notiz 2 2 2" xfId="1470" xr:uid="{5082A033-464D-42B8-935A-5164B25FDC68}"/>
    <cellStyle name="Notiz 2 3" xfId="1471" xr:uid="{AED65DDD-1C23-4630-9741-37601B5840BF}"/>
    <cellStyle name="Notiz 3" xfId="1472" xr:uid="{232405C4-5FBC-4752-9FC7-5B7BD6A1DA2F}"/>
    <cellStyle name="Notiz 3 2" xfId="1473" xr:uid="{C1B46494-4723-44E8-A88F-967F5EFDC022}"/>
    <cellStyle name="Notiz 4" xfId="1474" xr:uid="{7EE97E67-AE45-47EC-94FD-2FC4BDE30115}"/>
    <cellStyle name="Notiz 4 2" xfId="1475" xr:uid="{B926D058-388F-4713-84DE-813FC1F39DB8}"/>
    <cellStyle name="Notiz 5" xfId="1476" xr:uid="{69B60181-CF8C-45D5-8F6D-2FA280B531E3}"/>
    <cellStyle name="Obliczenia" xfId="11" builtinId="22" customBuiltin="1"/>
    <cellStyle name="Obliczenia 2" xfId="1477" xr:uid="{2AB963FB-F252-478C-9F67-FD51E43E9357}"/>
    <cellStyle name="Obliczenia 2 2" xfId="2190" xr:uid="{86CEB32D-E527-4B36-BFE7-BFD77011CE42}"/>
    <cellStyle name="Obliczenia 3" xfId="1478" xr:uid="{5F7B2781-277C-46D1-9C9E-FFD986BDFBD3}"/>
    <cellStyle name="Obliczenia 3 2" xfId="2200" xr:uid="{DD95515C-8281-4B78-9213-42AEA17CDDB5}"/>
    <cellStyle name="Obliczenia 4" xfId="1479" xr:uid="{F627C579-366C-4B2B-BA35-0ABC93DEF39E}"/>
    <cellStyle name="Odwiedzone hiperlacze" xfId="1480" xr:uid="{8F0A0D27-913B-46C8-B3E8-55A6F99A6A5D}"/>
    <cellStyle name="Odwiedzone hiperlacze 2" xfId="1481" xr:uid="{C8B0A72D-2FD1-4ABB-8333-D980C1A3B7E5}"/>
    <cellStyle name="Œ…‹æØ‚è [0.00]_!!!GO" xfId="1482" xr:uid="{4E5DD89F-5B19-472D-AD99-2FAD0FD9AA1C}"/>
    <cellStyle name="Œ…‹æØ‚è_!!!GO" xfId="1483" xr:uid="{93F9C667-1D61-4995-BC5D-4688E35CB047}"/>
    <cellStyle name="OS0023" xfId="1484" xr:uid="{A051AD0E-2FF6-4D2F-8633-EC3A869BF13A}"/>
    <cellStyle name="OS0023 2" xfId="1485" xr:uid="{8FAC93D1-3AA2-486A-B38B-0C514880F55E}"/>
    <cellStyle name="OS0023_R1+ R2" xfId="1486" xr:uid="{64DBB834-7909-44BB-81E6-50041A9F48FA}"/>
    <cellStyle name="Összesen" xfId="1487" xr:uid="{4AE87D3B-BF34-44C3-94B3-9C7CA31F8264}"/>
    <cellStyle name="Összesen 2" xfId="1488" xr:uid="{9E334E06-9E5C-41FF-BE83-9409301A0514}"/>
    <cellStyle name="Összesen 2 2" xfId="1489" xr:uid="{0DAA43DF-5BAD-4CCF-9E86-52E5E1684A25}"/>
    <cellStyle name="Összesen 3" xfId="1490" xr:uid="{47D254FA-9BB2-486C-8638-ED799F0B7055}"/>
    <cellStyle name="Output" xfId="1491" xr:uid="{EC6B9F00-87C5-4B28-8EAD-75EF33DF6A7C}"/>
    <cellStyle name="Output 2" xfId="1492" xr:uid="{3A1F6AA1-EDDD-420C-BC25-172E5AABBFAA}"/>
    <cellStyle name="Output Amounts" xfId="1493" xr:uid="{43791C09-B1A7-45F1-BE45-9F580129C91F}"/>
    <cellStyle name="Output Column Headings" xfId="1494" xr:uid="{44339688-C060-418C-9CC2-58D5D44A5EAB}"/>
    <cellStyle name="Output Column Headings 2" xfId="1495" xr:uid="{9D40FC04-4C36-4FFD-B681-7E2327C5BC2E}"/>
    <cellStyle name="Output Column Headings_FAGOR" xfId="1496" xr:uid="{7735A9BE-895E-4893-9986-F0C37119778E}"/>
    <cellStyle name="Output Line Items" xfId="1497" xr:uid="{7BB7CA39-EA85-4E3D-855C-4ACEFA90E2DB}"/>
    <cellStyle name="Output Line Items 2" xfId="1498" xr:uid="{E078024E-7F44-4397-BB5A-52CE73665825}"/>
    <cellStyle name="Output Line Items_FAGOR" xfId="1499" xr:uid="{BFA8B807-3B5B-472A-94A7-82A430530180}"/>
    <cellStyle name="Output Report Heading" xfId="1500" xr:uid="{A95A5543-DD9C-4634-91D8-174D255DCAB7}"/>
    <cellStyle name="Output Report Heading 2" xfId="1501" xr:uid="{27ABAACB-A386-49ED-9C2D-917DFD07E630}"/>
    <cellStyle name="Output Report Heading_FAGOR" xfId="1502" xr:uid="{4D405B01-446F-43B3-8C87-BAF0F784A74B}"/>
    <cellStyle name="Output Report Title" xfId="1503" xr:uid="{DC4E1E44-8803-477F-A48A-BC9B8DA03036}"/>
    <cellStyle name="Output Report Title 2" xfId="1504" xr:uid="{72D936A0-F5C3-4872-8EA2-E6C169F48C38}"/>
    <cellStyle name="Output Report Title_FAGOR" xfId="1505" xr:uid="{15E286FD-CAC3-46AE-B311-E512D3B258BB}"/>
    <cellStyle name="Output_Budget - S&amp;OP Template" xfId="1506" xr:uid="{B2716376-FDA8-45EF-9DC2-3BD81C392F08}"/>
    <cellStyle name="per.style" xfId="1507" xr:uid="{62931B1F-836A-4F3D-B93C-891EA75FB028}"/>
    <cellStyle name="Percen - Style3" xfId="1508" xr:uid="{6E74D770-F684-4D1E-8C03-50B31BC55218}"/>
    <cellStyle name="Percen - Style3 2" xfId="1509" xr:uid="{13355BB0-25DB-4D25-8113-2277C517C037}"/>
    <cellStyle name="Percen - Style3_FAGOR" xfId="1510" xr:uid="{47EC08D9-81FC-44D5-BDA7-B194B93E4382}"/>
    <cellStyle name="Percent [0]" xfId="1511" xr:uid="{38286112-43D0-439E-8097-69E1EAAF0176}"/>
    <cellStyle name="Percent [0] 2" xfId="1512" xr:uid="{35E3CC42-78E3-44CE-A10E-6B44EFB4BBF4}"/>
    <cellStyle name="Percent [0] 2 2" xfId="1513" xr:uid="{5D819B7C-3C74-407E-BA04-B1D99A07D3EB}"/>
    <cellStyle name="Percent [0] 3" xfId="1514" xr:uid="{5BA710BD-3850-4593-8424-335650E8FE76}"/>
    <cellStyle name="Percent [00]" xfId="1515" xr:uid="{C284E2A0-E171-4685-A8C4-E4D12DF1CA81}"/>
    <cellStyle name="Percent [00] 2" xfId="1516" xr:uid="{6A4FC247-3577-46C5-8D45-C1F3CE6C5AB4}"/>
    <cellStyle name="Percent [00] 2 2" xfId="1517" xr:uid="{EAD52152-E753-4F0D-AFF6-5BB896336686}"/>
    <cellStyle name="Percent [00] 3" xfId="1518" xr:uid="{4BAD964E-FC36-483D-80FE-132D52A8D404}"/>
    <cellStyle name="Percent [2]" xfId="1519" xr:uid="{A9FF6328-22B8-4869-94AF-7EFE4128050B}"/>
    <cellStyle name="Percent [2] 2" xfId="1520" xr:uid="{37921496-A488-4F44-B02D-FBD8365220F9}"/>
    <cellStyle name="Percent [2] 2 2" xfId="1521" xr:uid="{828471DA-C6C0-4032-BD6F-36B09E8BD5DA}"/>
    <cellStyle name="Percent [2] 3" xfId="1522" xr:uid="{74CF916A-3F08-43DE-8AF9-E1EADC072688}"/>
    <cellStyle name="Percent not shaded" xfId="1523" xr:uid="{1C1974D1-D980-4649-8C17-8C68F816AB15}"/>
    <cellStyle name="Percent shaded" xfId="1524" xr:uid="{011C17D6-9DAB-4AF2-BA03-0E991AE69228}"/>
    <cellStyle name="Pourcentage 2" xfId="1525" xr:uid="{4D593D0D-F6D1-4884-80F6-18051C47C4F5}"/>
    <cellStyle name="Poznámka" xfId="1526" xr:uid="{4FA26B51-59DB-4277-9426-FB187CD50F8E}"/>
    <cellStyle name="Poznámka 2" xfId="1527" xr:uid="{1E74D3C5-F1B5-4A18-BF91-1F3EEC50071C}"/>
    <cellStyle name="Poznámka 2 2" xfId="1528" xr:uid="{F0ECBB49-75C1-441E-A246-A6679B4469A3}"/>
    <cellStyle name="Poznámka 2 2 2" xfId="1529" xr:uid="{32E1837C-C9F3-4601-B495-6B07BCA783C6}"/>
    <cellStyle name="Poznámka 2 3" xfId="1530" xr:uid="{F4A06DCF-D4E9-4450-BCF8-7D4958D8801E}"/>
    <cellStyle name="Poznámka 2 4" xfId="1531" xr:uid="{0FBB4601-348B-4649-9D40-DB8826B73B9A}"/>
    <cellStyle name="Poznámka 3" xfId="1532" xr:uid="{95968C38-521C-48CC-AB1A-1C9F4E62F883}"/>
    <cellStyle name="Poznámka 3 2" xfId="1533" xr:uid="{EAF935F2-76CE-4B0A-9066-C8DCE161406C}"/>
    <cellStyle name="Poznámka 4" xfId="1534" xr:uid="{FB7BEE15-00EE-47FE-8ECB-81127214A4E0}"/>
    <cellStyle name="PrePop Currency (0)" xfId="1535" xr:uid="{A3ED71A7-D0F5-445E-B44C-A8B8D823F054}"/>
    <cellStyle name="PrePop Currency (0) 2" xfId="1536" xr:uid="{1899AC83-55DB-4A1C-8044-026C7CF535F9}"/>
    <cellStyle name="PrePop Currency (0) 2 2" xfId="1537" xr:uid="{E55A328B-06F4-4E38-B8CB-BE50A00EBE2C}"/>
    <cellStyle name="PrePop Currency (0) 3" xfId="1538" xr:uid="{805C8EC5-C506-4195-9E01-EA0C36802C5E}"/>
    <cellStyle name="PrePop Currency (0)_FAGOR" xfId="1539" xr:uid="{C0328666-DF7F-4C8B-950D-672F97DFF713}"/>
    <cellStyle name="PrePop Currency (2)" xfId="1540" xr:uid="{0D25A303-A286-4B1E-AE69-2BB659D899E1}"/>
    <cellStyle name="PrePop Currency (2) 2" xfId="1541" xr:uid="{4349703F-7CBC-42F1-9C36-9F5F8082C232}"/>
    <cellStyle name="PrePop Currency (2) 2 2" xfId="1542" xr:uid="{505777D9-5C2E-4A03-BC40-8BF26F78B2D2}"/>
    <cellStyle name="PrePop Currency (2) 3" xfId="1543" xr:uid="{A2006B50-6E08-47DB-A21A-2C1A195BC2B4}"/>
    <cellStyle name="PrePop Currency (2)_FAGOR" xfId="1544" xr:uid="{545B8F51-0103-4BD5-9862-054C6AFF60B1}"/>
    <cellStyle name="PrePop Units (0)" xfId="1545" xr:uid="{53D6AEDC-00C3-4273-8363-748B8708AB9E}"/>
    <cellStyle name="PrePop Units (0) 2" xfId="1546" xr:uid="{2A22E29A-87C4-42DF-B0F7-D84E1A187F6D}"/>
    <cellStyle name="PrePop Units (0) 2 2" xfId="1547" xr:uid="{78B8F059-6932-496C-8903-0C5840C429A8}"/>
    <cellStyle name="PrePop Units (0) 3" xfId="1548" xr:uid="{24279742-0DD5-4925-B567-94FAC0D3A86F}"/>
    <cellStyle name="PrePop Units (0)_FAGOR" xfId="1549" xr:uid="{67D051DD-AAF1-4AAD-87C3-B31C84C4069E}"/>
    <cellStyle name="PrePop Units (1)" xfId="1550" xr:uid="{832E6385-AC44-4E4B-8794-A8D8E1F9C8E4}"/>
    <cellStyle name="PrePop Units (1) 2" xfId="1551" xr:uid="{60146CE8-C975-46A5-B49B-D3DB7FFB59C5}"/>
    <cellStyle name="PrePop Units (1) 2 2" xfId="1552" xr:uid="{D7FFB3AA-8838-45E2-970A-1B822C6EA14B}"/>
    <cellStyle name="PrePop Units (1) 3" xfId="1553" xr:uid="{EC47A447-3EFF-4DBE-994E-146A3E346A3B}"/>
    <cellStyle name="PrePop Units (1)_FAGOR" xfId="1554" xr:uid="{33FBED32-810E-4B16-BF10-46529D74114C}"/>
    <cellStyle name="PrePop Units (2)" xfId="1555" xr:uid="{D951851A-A6E8-458E-968E-FFAF1588C50E}"/>
    <cellStyle name="PrePop Units (2) 2" xfId="1556" xr:uid="{9B36DF94-FBD9-4B17-BBAA-FCBD3D483F54}"/>
    <cellStyle name="PrePop Units (2) 2 2" xfId="1557" xr:uid="{03E4DDE9-AFB7-4B04-889C-DDEBB42F2558}"/>
    <cellStyle name="PrePop Units (2) 3" xfId="1558" xr:uid="{AC8AD668-1110-4012-8E26-3B06788716C6}"/>
    <cellStyle name="PrePop Units (2)_FAGOR" xfId="1559" xr:uid="{A935DD70-168C-4293-AB05-972999E12099}"/>
    <cellStyle name="Procentowy 2" xfId="42" xr:uid="{F702DF35-C724-4602-A159-4FC65825FD8B}"/>
    <cellStyle name="Procentowy 2 2" xfId="55" xr:uid="{46B50FBB-B583-47A3-8C9B-3D92B8AD35ED}"/>
    <cellStyle name="Procentowy 2 3" xfId="52" xr:uid="{CE413658-26FF-452A-A095-F2ED3B523D8E}"/>
    <cellStyle name="Procentowy 2 4" xfId="2167" xr:uid="{F910F291-01B4-48A5-ABC0-2C28F390924F}"/>
    <cellStyle name="Procentowy 2 5" xfId="2260" xr:uid="{82BFB84B-1538-4559-BB39-3A4626082615}"/>
    <cellStyle name="Procentowy 3" xfId="1560" xr:uid="{9DF41ECA-8342-439B-AC1E-E8F815DAE952}"/>
    <cellStyle name="Procentowy 3 2" xfId="1561" xr:uid="{32E5835A-007C-4AA3-8779-98972F058C33}"/>
    <cellStyle name="Procentowy 3 3" xfId="2261" xr:uid="{1928B074-80F1-4001-8485-D883C4C21C97}"/>
    <cellStyle name="Procentowy 4" xfId="48" xr:uid="{A14F24B1-85C2-48F4-8F3A-BE3ECCB4DB4D}"/>
    <cellStyle name="Procentowy 4 2" xfId="2145" xr:uid="{450945A8-A351-48DF-9090-4C6D09D15CCF}"/>
    <cellStyle name="Procentowy 5" xfId="2137" xr:uid="{279CA89C-DB50-4C39-A2F9-AA784ABE2378}"/>
    <cellStyle name="Procentowy 6" xfId="2279" xr:uid="{F594141A-E732-4851-AABC-47B04F461E87}"/>
    <cellStyle name="Procentowy 7" xfId="2356" xr:uid="{B9F2642F-10E3-4349-AF48-CADDA9616B0E}"/>
    <cellStyle name="Procentowy 8" xfId="2368" xr:uid="{4A8E974E-E0A3-46DC-8B8F-72E24B053A6C}"/>
    <cellStyle name="Propojená buňka" xfId="1562" xr:uid="{6DFCA750-47A1-4DAC-A6F3-AF09B812628E}"/>
    <cellStyle name="Propojená buňka 2" xfId="1563" xr:uid="{CC74DD0E-5ADF-47D2-B1E8-80D7B2E416EE}"/>
    <cellStyle name="Propojená buňka 2 2" xfId="1564" xr:uid="{B5F1F26D-C0C2-4E84-A8A6-201527EC9555}"/>
    <cellStyle name="Proposal_niv1" xfId="1565" xr:uid="{299F0574-3FDD-49E4-85EC-69D23797CFE5}"/>
    <cellStyle name="PSChar" xfId="1566" xr:uid="{68234E14-27B7-42A4-9FF0-D19858011111}"/>
    <cellStyle name="PSChar 2" xfId="1567" xr:uid="{D9D98B57-CCDC-4E63-90CC-C43B138AD685}"/>
    <cellStyle name="PSDate" xfId="1568" xr:uid="{0F6D3164-BF0D-40C4-8613-86F470CBD3C3}"/>
    <cellStyle name="PSDec" xfId="1569" xr:uid="{88B3750E-476C-4F6D-B888-4213CB8849DF}"/>
    <cellStyle name="PSHeading" xfId="1570" xr:uid="{384F462F-E81E-48CF-AAF9-EC964C7D3823}"/>
    <cellStyle name="PSHeading 2" xfId="1571" xr:uid="{3F393A8E-2FE4-4C2E-8057-3D492DDED0C1}"/>
    <cellStyle name="PSHeading_R1+ R2" xfId="1572" xr:uid="{666974D9-879F-46BB-8CD9-421A524B8F94}"/>
    <cellStyle name="PSInt" xfId="1573" xr:uid="{A8273489-D25E-4139-A04F-0A346C3C6CFD}"/>
    <cellStyle name="PSSpacer" xfId="1574" xr:uid="{BFF7E133-A3A2-4D73-82A1-80784FC70C9A}"/>
    <cellStyle name="PSSpacer 2" xfId="1575" xr:uid="{669B5BAF-6129-427A-A564-823728823D86}"/>
    <cellStyle name="public" xfId="1576" xr:uid="{AB9D2B3B-088C-499D-9BA5-115424EAD41F}"/>
    <cellStyle name="public 2" xfId="1577" xr:uid="{83F561E8-A60C-43C5-9A48-4413B7FACAE7}"/>
    <cellStyle name="public_R1+ R2" xfId="1578" xr:uid="{D6DAA09F-F854-4FEA-85FF-569AB2221075}"/>
    <cellStyle name="ReadOnly" xfId="1579" xr:uid="{B27A97C4-A332-499D-B5B5-1AC1725C191C}"/>
    <cellStyle name="ReadOnly 2" xfId="1580" xr:uid="{40A0207B-7FBC-47F4-A100-9DBC1676D38D}"/>
    <cellStyle name="ReadOnly_FAGOR" xfId="1581" xr:uid="{88F7A487-439B-4B9B-BC91-3E8AF40A17AE}"/>
    <cellStyle name="regstoresfromspecstores" xfId="1582" xr:uid="{3FADB284-3EC3-4CE9-BBC2-6FF169726C10}"/>
    <cellStyle name="regstoresfromspecstores 2" xfId="1583" xr:uid="{A878380E-B36A-478D-8BCF-19AF1547C4E1}"/>
    <cellStyle name="ReqdOnlyCalculate" xfId="1584" xr:uid="{F75B6994-C094-4628-80F9-1EA769BE3881}"/>
    <cellStyle name="ReqdOnlyCalculate 2" xfId="1585" xr:uid="{69D15551-7E3E-487A-B4EB-001DD8170867}"/>
    <cellStyle name="ReqdOnlyCalculate_FAGOR" xfId="1586" xr:uid="{380136FA-079B-4317-BB62-1C627DFDE0CB}"/>
    <cellStyle name="RevList" xfId="1587" xr:uid="{E1139075-67A4-4F29-B82C-3C42D1363282}"/>
    <cellStyle name="Rossz" xfId="1588" xr:uid="{563016FF-658D-4A8E-9464-2DA370C1CD5C}"/>
    <cellStyle name="Rossz 2" xfId="1589" xr:uid="{349380E3-8343-42D4-BD6C-7A0B553B54A9}"/>
    <cellStyle name="Rubrik" xfId="1590" xr:uid="{E5E3CE06-DE73-4FBA-A877-57843574F316}"/>
    <cellStyle name="Rubrik 1" xfId="1591" xr:uid="{371BDB4D-5A33-43A7-BB02-B8080185688D}"/>
    <cellStyle name="Rubrik 1 2" xfId="1592" xr:uid="{88414CD6-7655-41AA-82DE-B59B90B66F98}"/>
    <cellStyle name="Rubrik 1_FAGOR" xfId="1593" xr:uid="{1274009C-3BA0-475A-8D2F-DC7671158995}"/>
    <cellStyle name="Rubrik 2" xfId="1594" xr:uid="{AE63A63C-331B-4EC6-B582-ED0B8FF8D60E}"/>
    <cellStyle name="Rubrik 2 2" xfId="1595" xr:uid="{A8F4FEB2-9CA7-46AD-A8FF-20157A1E57F3}"/>
    <cellStyle name="Rubrik 2_FAGOR" xfId="1596" xr:uid="{683E1854-E438-4C02-A92E-099ABE2518A5}"/>
    <cellStyle name="Rubrik 3" xfId="1597" xr:uid="{DC832D79-AF66-4DBA-919E-75BA8D664562}"/>
    <cellStyle name="Rubrik 3 2" xfId="1598" xr:uid="{632422A7-879E-4A7A-BF8D-A8F60487516A}"/>
    <cellStyle name="Rubrik 3_FAGOR" xfId="1599" xr:uid="{7D1F9A0D-9FA9-4089-9907-F3592A31C932}"/>
    <cellStyle name="Rubrik 4" xfId="1600" xr:uid="{AB94F1DF-FB72-4B6C-BAE9-A18FEB17638C}"/>
    <cellStyle name="Rubrik 4 2" xfId="1601" xr:uid="{E16B90CC-168C-45C8-9C8F-A192937DD3CE}"/>
    <cellStyle name="Rubrik 4_FAGOR" xfId="1602" xr:uid="{4A16577E-603A-4164-8554-3595F63B5334}"/>
    <cellStyle name="Rubrik 5" xfId="1603" xr:uid="{4BA28909-DC33-48FE-91C9-B4EDE714841C}"/>
    <cellStyle name="Rubrik_FAGOR" xfId="1604" xr:uid="{C31E7F89-2A46-4FC6-B5D4-26B46D2151B7}"/>
    <cellStyle name="SAPBEXaggData" xfId="1605" xr:uid="{95592C4C-7822-40EC-9216-25B3B142914F}"/>
    <cellStyle name="SAPBEXaggDataEmph" xfId="1606" xr:uid="{E1E50351-152E-45A0-97EE-D6557C215067}"/>
    <cellStyle name="SAPBEXaggItem" xfId="1607" xr:uid="{3CC586CD-7723-4EF1-BC55-0D89DEEA5E75}"/>
    <cellStyle name="SAPBEXaggItemX" xfId="1608" xr:uid="{3D8A91A6-375C-4EF6-88A5-2CEB49058490}"/>
    <cellStyle name="SAPBEXaggItemX 2" xfId="1609" xr:uid="{6C8F1D68-AC45-48A1-9D39-BB55C98C76D0}"/>
    <cellStyle name="SAPBEXaggItemX_FAGOR" xfId="1610" xr:uid="{1F30E18E-75E3-4E33-B392-879C89CB5D30}"/>
    <cellStyle name="SAPBEXchaText" xfId="1611" xr:uid="{93E40DCA-4C0F-4D74-A420-72800EB9547D}"/>
    <cellStyle name="SAPBEXexcBad7" xfId="1612" xr:uid="{ED945025-E473-4AB7-9F6D-8A675B63805A}"/>
    <cellStyle name="SAPBEXexcBad8" xfId="1613" xr:uid="{37D516AE-957F-4D73-ADCD-F0F26B99921C}"/>
    <cellStyle name="SAPBEXexcBad9" xfId="1614" xr:uid="{4A4A7AD2-F9B3-4A55-B4D2-9D1218C8376E}"/>
    <cellStyle name="SAPBEXexcCritical4" xfId="1615" xr:uid="{6DDA5CC3-2041-44D7-807D-BA890CDFB7E9}"/>
    <cellStyle name="SAPBEXexcCritical5" xfId="1616" xr:uid="{72512FA4-EC6C-4753-89DC-BFEC4EAED87E}"/>
    <cellStyle name="SAPBEXexcCritical6" xfId="1617" xr:uid="{43958074-1394-4146-BDC0-CF7C4A590257}"/>
    <cellStyle name="SAPBEXexcGood1" xfId="1618" xr:uid="{6149677B-E47B-4F30-9B2C-5B4E0BBF626B}"/>
    <cellStyle name="SAPBEXexcGood2" xfId="1619" xr:uid="{8B49482D-B4D1-41EA-B290-F28FD6ACD9DF}"/>
    <cellStyle name="SAPBEXexcGood3" xfId="1620" xr:uid="{DFB5C590-DD0A-4C52-824F-921A6DC8D97E}"/>
    <cellStyle name="SAPBEXfilterDrill" xfId="1621" xr:uid="{6C39A553-8EDA-4B23-BBBE-8D9875D04A7A}"/>
    <cellStyle name="SAPBEXfilterItem" xfId="1622" xr:uid="{E35BEA32-2AE9-4C27-B363-E24004590200}"/>
    <cellStyle name="SAPBEXfilterText" xfId="1623" xr:uid="{C322CBAB-A923-4F98-A7F8-5C7B45B5F4E9}"/>
    <cellStyle name="SAPBEXformats" xfId="1624" xr:uid="{94F24255-87A0-4B11-AA76-B834844CF8E8}"/>
    <cellStyle name="SAPBEXheaderItem" xfId="1625" xr:uid="{5B20469D-FB23-4646-9E94-F93014ED6F5C}"/>
    <cellStyle name="SAPBEXheaderText" xfId="1626" xr:uid="{D24572DC-5B75-4F2D-8258-17EE368A726F}"/>
    <cellStyle name="SAPBEXHLevel0" xfId="1627" xr:uid="{157E28AA-0AA0-4C8F-A750-B934D9723E27}"/>
    <cellStyle name="SAPBEXHLevel0 2" xfId="1628" xr:uid="{68912EDD-B825-423E-BE9F-FA28892D11EE}"/>
    <cellStyle name="SAPBEXHLevel0 2 2" xfId="1629" xr:uid="{3A82891E-D249-4363-A15D-0C8769C488E2}"/>
    <cellStyle name="SAPBEXHLevel0 2 2 2" xfId="1630" xr:uid="{F9DF4707-EA51-4F3A-BC41-EB9DE82FD310}"/>
    <cellStyle name="SAPBEXHLevel0 2 3" xfId="1631" xr:uid="{A9434BA6-B598-4712-959F-E108B5E41389}"/>
    <cellStyle name="SAPBEXHLevel0 2_FAGOR" xfId="1632" xr:uid="{1F827745-DEE4-4336-98FC-37A23CD305C2}"/>
    <cellStyle name="SAPBEXHLevel0 3" xfId="1633" xr:uid="{A28C8728-0895-42CF-8E32-6B5F13782B61}"/>
    <cellStyle name="SAPBEXHLevel0 3 2" xfId="1634" xr:uid="{546E91FE-D7CA-4C64-9B36-7C00D6D2CFE5}"/>
    <cellStyle name="SAPBEXHLevel0 4" xfId="1635" xr:uid="{548D6102-4091-4F94-8B46-C311C1A84D71}"/>
    <cellStyle name="SAPBEXHLevel0_FAGOR" xfId="1636" xr:uid="{8191A4A6-2A05-45A8-8811-7B2DC78C7453}"/>
    <cellStyle name="SAPBEXHLevel0X" xfId="1637" xr:uid="{31D40312-AC37-4C9D-B883-1298F018B31C}"/>
    <cellStyle name="SAPBEXHLevel0X 2" xfId="1638" xr:uid="{4252DD97-E403-4696-89EC-2E6AEFD791CC}"/>
    <cellStyle name="SAPBEXHLevel0X 2 2" xfId="1639" xr:uid="{98028C49-0358-4E17-9F21-808B105587C8}"/>
    <cellStyle name="SAPBEXHLevel0X 2 2 2" xfId="1640" xr:uid="{6656EB8E-E4A4-4B05-B06D-B86D7B119648}"/>
    <cellStyle name="SAPBEXHLevel0X 2 3" xfId="1641" xr:uid="{4A014DAD-CFBC-4A04-BC76-C048DE240592}"/>
    <cellStyle name="SAPBEXHLevel0X 2_FAGOR" xfId="1642" xr:uid="{A96595C5-71EB-43F3-8DEF-95102350DABF}"/>
    <cellStyle name="SAPBEXHLevel0X 3" xfId="1643" xr:uid="{2F71D6E2-8316-4A85-85AD-6A16BB943FFA}"/>
    <cellStyle name="SAPBEXHLevel0X 3 2" xfId="1644" xr:uid="{CEBD663F-D332-472A-B75F-3964EA7A8C4E}"/>
    <cellStyle name="SAPBEXHLevel0X 4" xfId="1645" xr:uid="{08D41699-1D91-42C0-BBE0-D145729CD6ED}"/>
    <cellStyle name="SAPBEXHLevel0X_FAGOR" xfId="1646" xr:uid="{3F164B1F-4EB8-4656-BA2C-DF6873A3FDA2}"/>
    <cellStyle name="SAPBEXHLevel1" xfId="1647" xr:uid="{A0AEE7E2-5F31-4D4D-BCF7-DDE0ED2DCDA5}"/>
    <cellStyle name="SAPBEXHLevel1 2" xfId="1648" xr:uid="{96097F08-1C9C-4654-87A3-AA04EE5C1F4C}"/>
    <cellStyle name="SAPBEXHLevel1 2 2" xfId="1649" xr:uid="{5B8BBA3C-8479-4F24-98B1-EA44D196E67D}"/>
    <cellStyle name="SAPBEXHLevel1 2 2 2" xfId="1650" xr:uid="{BEFE8D83-C8BA-4D51-864C-AD7CE303A126}"/>
    <cellStyle name="SAPBEXHLevel1 2 3" xfId="1651" xr:uid="{CDF5BF79-9BAA-4278-8BC9-97DB3B07414D}"/>
    <cellStyle name="SAPBEXHLevel1 2_FAGOR" xfId="1652" xr:uid="{95A842F3-18C5-4200-97C8-E20E29A1329E}"/>
    <cellStyle name="SAPBEXHLevel1 3" xfId="1653" xr:uid="{1A67C803-C407-4E33-9E69-DDA67EBDDE21}"/>
    <cellStyle name="SAPBEXHLevel1 3 2" xfId="1654" xr:uid="{6F75287B-B959-4EBA-A788-E98245DDB328}"/>
    <cellStyle name="SAPBEXHLevel1 4" xfId="1655" xr:uid="{0F8D83A1-B1F0-4B25-AFA3-9C46203C76E6}"/>
    <cellStyle name="SAPBEXHLevel1_FAGOR" xfId="1656" xr:uid="{927EE9F0-85D1-4F25-97F4-73BF505AC16C}"/>
    <cellStyle name="SAPBEXHLevel1X" xfId="1657" xr:uid="{F4D5C49E-349C-4C45-B004-E9E9A9045B86}"/>
    <cellStyle name="SAPBEXHLevel1X 2" xfId="1658" xr:uid="{3F3633DE-94A0-4DCA-99DE-99031F0D35D8}"/>
    <cellStyle name="SAPBEXHLevel1X 2 2" xfId="1659" xr:uid="{BB17AFD9-A694-40CF-BB4D-85BF47F8CCEC}"/>
    <cellStyle name="SAPBEXHLevel1X 2 2 2" xfId="1660" xr:uid="{F344E262-0C9B-439C-B555-860F5D0FB3C5}"/>
    <cellStyle name="SAPBEXHLevel1X 2 3" xfId="1661" xr:uid="{6D36ACF5-9DA5-4F36-B308-4AA5F9294553}"/>
    <cellStyle name="SAPBEXHLevel1X 2_FAGOR" xfId="1662" xr:uid="{BB76B190-A5E1-462D-87E3-2EB1AA766875}"/>
    <cellStyle name="SAPBEXHLevel1X 3" xfId="1663" xr:uid="{8365A47A-0756-4CD7-9652-24F4A36D12D8}"/>
    <cellStyle name="SAPBEXHLevel1X 3 2" xfId="1664" xr:uid="{68EBEEAC-73EF-495B-8E84-A87B95F2D1ED}"/>
    <cellStyle name="SAPBEXHLevel1X 4" xfId="1665" xr:uid="{CF59EF52-E978-487B-8ECC-61304B39D102}"/>
    <cellStyle name="SAPBEXHLevel1X_FAGOR" xfId="1666" xr:uid="{11009D35-BE4D-4BDA-B8A2-935664A6E2C2}"/>
    <cellStyle name="SAPBEXHLevel2" xfId="1667" xr:uid="{D5603F0B-56CB-48DD-B986-49DBECDFD6BA}"/>
    <cellStyle name="SAPBEXHLevel2 2" xfId="1668" xr:uid="{6221CC02-6969-47FC-86CC-57FB0AB29F13}"/>
    <cellStyle name="SAPBEXHLevel2 2 2" xfId="1669" xr:uid="{A0D5C5D6-4695-42DA-A098-E6DABE99D840}"/>
    <cellStyle name="SAPBEXHLevel2 2 2 2" xfId="1670" xr:uid="{FAF00DA0-A926-41CB-8FE1-DD3A1A0553D8}"/>
    <cellStyle name="SAPBEXHLevel2 2 3" xfId="1671" xr:uid="{19B510FF-1352-4432-861C-E3E0F5D5FDF2}"/>
    <cellStyle name="SAPBEXHLevel2 2_FAGOR" xfId="1672" xr:uid="{98EFD03B-F418-4EEF-8591-08D1A296F871}"/>
    <cellStyle name="SAPBEXHLevel2 3" xfId="1673" xr:uid="{7B44B0CC-F88C-48F2-82AD-21CDA72C0503}"/>
    <cellStyle name="SAPBEXHLevel2 3 2" xfId="1674" xr:uid="{392DEBF8-E5DE-40FB-9A1D-5D87DDBB9981}"/>
    <cellStyle name="SAPBEXHLevel2 4" xfId="1675" xr:uid="{57E16B5B-BE69-4FCF-9EC0-8452F5950B16}"/>
    <cellStyle name="SAPBEXHLevel2_FAGOR" xfId="1676" xr:uid="{8610ED67-6B59-4076-BF85-72A80503BAD5}"/>
    <cellStyle name="SAPBEXHLevel2X" xfId="1677" xr:uid="{EE7242AA-8E82-42A5-8711-1E29C31886C0}"/>
    <cellStyle name="SAPBEXHLevel2X 2" xfId="1678" xr:uid="{8187A3C0-75BA-4F83-B39C-D4ABB490E41B}"/>
    <cellStyle name="SAPBEXHLevel2X 2 2" xfId="1679" xr:uid="{908D4113-D4D2-4886-BA42-6A04BBADC7F7}"/>
    <cellStyle name="SAPBEXHLevel2X 2 2 2" xfId="1680" xr:uid="{DC83FCAF-15B1-4A41-AE74-77A3FB9200F1}"/>
    <cellStyle name="SAPBEXHLevel2X 2 3" xfId="1681" xr:uid="{F77B7575-0EDB-49F4-A2A0-A92A7155A745}"/>
    <cellStyle name="SAPBEXHLevel2X 2_FAGOR" xfId="1682" xr:uid="{443BA266-D141-40B0-8990-57132622FC30}"/>
    <cellStyle name="SAPBEXHLevel2X 3" xfId="1683" xr:uid="{A385437E-CD73-40FE-9D3C-5DFA11DE0AB9}"/>
    <cellStyle name="SAPBEXHLevel2X 3 2" xfId="1684" xr:uid="{36E994BD-A2B0-44C1-89CB-77184FD73D33}"/>
    <cellStyle name="SAPBEXHLevel2X 4" xfId="1685" xr:uid="{5591E809-8A31-4AED-93E9-96FC9C637CCC}"/>
    <cellStyle name="SAPBEXHLevel2X_FAGOR" xfId="1686" xr:uid="{07BD88F6-E7D0-4E4E-942E-B27C983468D9}"/>
    <cellStyle name="SAPBEXHLevel3" xfId="1687" xr:uid="{6E760662-CACE-4E7D-A56E-39DAA9BB91F4}"/>
    <cellStyle name="SAPBEXHLevel3 2" xfId="1688" xr:uid="{0ECAD17F-83FA-4BD9-9167-AD1804993966}"/>
    <cellStyle name="SAPBEXHLevel3 2 2" xfId="1689" xr:uid="{7F6A05A7-F966-42CF-8479-800604C6A12A}"/>
    <cellStyle name="SAPBEXHLevel3 2 2 2" xfId="1690" xr:uid="{051723FB-271D-4837-9AB1-AD4527A774DD}"/>
    <cellStyle name="SAPBEXHLevel3 2 3" xfId="1691" xr:uid="{431D20FC-DBCE-4A75-982E-A5AB62BA9510}"/>
    <cellStyle name="SAPBEXHLevel3 2_FAGOR" xfId="1692" xr:uid="{2C5B2C4E-07E3-4B9B-B118-3338B19AB95F}"/>
    <cellStyle name="SAPBEXHLevel3 3" xfId="1693" xr:uid="{1624508D-02F8-4FBF-B16B-A991AB06D555}"/>
    <cellStyle name="SAPBEXHLevel3 3 2" xfId="1694" xr:uid="{28C2729A-95E9-4508-B0CD-C2D5EA830C69}"/>
    <cellStyle name="SAPBEXHLevel3 4" xfId="1695" xr:uid="{E01D7F6D-EF91-4108-A40E-8840B9D7BB99}"/>
    <cellStyle name="SAPBEXHLevel3_FAGOR" xfId="1696" xr:uid="{DCF27BB7-D430-4AE4-8198-19AE4921080F}"/>
    <cellStyle name="SAPBEXHLevel3X" xfId="1697" xr:uid="{EB45C10A-663F-4F4D-BE27-F2E8304E0B9A}"/>
    <cellStyle name="SAPBEXHLevel3X 2" xfId="1698" xr:uid="{E796AA0D-E387-44BD-9221-292CB3388FE6}"/>
    <cellStyle name="SAPBEXHLevel3X 2 2" xfId="1699" xr:uid="{11F19892-DF27-446D-9372-CB22514BD4E0}"/>
    <cellStyle name="SAPBEXHLevel3X 2 2 2" xfId="1700" xr:uid="{FC33AB6C-8A5B-4806-99A3-9AF8F242C3F4}"/>
    <cellStyle name="SAPBEXHLevel3X 2 3" xfId="1701" xr:uid="{212FBF93-79A3-4AD5-AF9C-249A23DD2B7F}"/>
    <cellStyle name="SAPBEXHLevel3X 2_FAGOR" xfId="1702" xr:uid="{FEE93B09-0284-4D83-B203-9FB62F60CF7D}"/>
    <cellStyle name="SAPBEXHLevel3X 3" xfId="1703" xr:uid="{0F1C51E9-DD82-4034-AE85-FB5FF7E30793}"/>
    <cellStyle name="SAPBEXHLevel3X 3 2" xfId="1704" xr:uid="{E91499EF-0FA0-491B-9404-87FD64CF9B6E}"/>
    <cellStyle name="SAPBEXHLevel3X 4" xfId="1705" xr:uid="{C82FB8BD-6B6E-4E85-90AA-78B1D7B48505}"/>
    <cellStyle name="SAPBEXHLevel3X_FAGOR" xfId="1706" xr:uid="{BA184538-3890-4067-91C5-440F044CF6B6}"/>
    <cellStyle name="SAPBEXinputData" xfId="1707" xr:uid="{5033ED98-67BA-417F-86E3-885E6EF858B9}"/>
    <cellStyle name="SAPBEXinputData 2" xfId="1708" xr:uid="{BC4C376E-45C5-4096-9B6E-65475ACF6638}"/>
    <cellStyle name="SAPBEXinputData 2 2" xfId="1709" xr:uid="{93057747-0044-4B54-9DE3-09FE0A9E45E1}"/>
    <cellStyle name="SAPBEXinputData 2 2 2" xfId="1710" xr:uid="{716DE724-EC00-4A20-95B4-344669DEA9A5}"/>
    <cellStyle name="SAPBEXinputData 2 3" xfId="1711" xr:uid="{F8F00423-7C52-4089-B8BD-95AC25455E11}"/>
    <cellStyle name="SAPBEXinputData 3" xfId="1712" xr:uid="{5CE872F5-6362-4DA4-AF0E-93BF10B97CEE}"/>
    <cellStyle name="SAPBEXinputData 3 2" xfId="1713" xr:uid="{40109202-8C48-4103-80EA-E1E326312428}"/>
    <cellStyle name="SAPBEXinputData 4" xfId="1714" xr:uid="{3FBDD989-683A-49CC-85A8-7C535B504C3B}"/>
    <cellStyle name="SAPBEXinputData_FAGOR" xfId="1715" xr:uid="{0F6FC0D9-4F28-4162-A09A-C9362CCC1757}"/>
    <cellStyle name="SAPBEXItemHeader" xfId="1716" xr:uid="{B9B2D408-4ECD-4935-844E-D696C12876B8}"/>
    <cellStyle name="SAPBEXItemHeader 2" xfId="1717" xr:uid="{0B1DF816-63D5-4EA3-A518-FBCC9559CD30}"/>
    <cellStyle name="SAPBEXItemHeader_FAGOR" xfId="1718" xr:uid="{E4EAC773-3263-4CF5-B73B-2868FCF33B9E}"/>
    <cellStyle name="SAPBEXresData" xfId="1719" xr:uid="{5BBD37FD-A22C-4852-99D9-96F23DEE5972}"/>
    <cellStyle name="SAPBEXresDataEmph" xfId="1720" xr:uid="{8385DB19-7AD7-452E-B549-4D775BD6173E}"/>
    <cellStyle name="SAPBEXresItem" xfId="1721" xr:uid="{65BF9301-54D4-4717-8D4B-44920EEED924}"/>
    <cellStyle name="SAPBEXresItemX" xfId="1722" xr:uid="{2F2B723A-8145-4D87-B071-32FC0970967C}"/>
    <cellStyle name="SAPBEXresItemX 2" xfId="1723" xr:uid="{1AB9AC30-8B03-4826-90B6-6E62864410E9}"/>
    <cellStyle name="SAPBEXresItemX_FAGOR" xfId="1724" xr:uid="{20475FC9-5517-44B4-A1C0-992A225582AB}"/>
    <cellStyle name="SAPBEXstdData" xfId="1725" xr:uid="{F8C3D7F6-2681-476F-AABE-979A85DB1573}"/>
    <cellStyle name="SAPBEXstdDataEmph" xfId="1726" xr:uid="{888E51FE-E4A5-45EC-95C5-A744EC1C73DB}"/>
    <cellStyle name="SAPBEXstdItem" xfId="1727" xr:uid="{6ACB5033-92A7-4D43-AD58-1BD252CD242B}"/>
    <cellStyle name="SAPBEXstdItemX" xfId="1728" xr:uid="{8EE79D20-58C2-4FE2-899F-BEDBA31CBE81}"/>
    <cellStyle name="SAPBEXstdItemX 2" xfId="1729" xr:uid="{1978D6F0-115E-46A6-B241-8BC9219C6262}"/>
    <cellStyle name="SAPBEXstdItemX_FAGOR" xfId="1730" xr:uid="{75FABF87-0F0B-4E44-B680-F6727824C023}"/>
    <cellStyle name="SAPBEXtitle" xfId="1731" xr:uid="{DDD430F6-33DB-4FC7-9DE9-3311949D5D01}"/>
    <cellStyle name="SAPBEXunassignedItem" xfId="1732" xr:uid="{C6DAE447-AFFE-4F87-BDCC-9A726DE3A300}"/>
    <cellStyle name="SAPBEXunassignedItem 2" xfId="1733" xr:uid="{BC68165A-2F24-41CE-AE87-A0B56E356247}"/>
    <cellStyle name="SAPBEXunassignedItem_FAGOR" xfId="1734" xr:uid="{F2A2F8A6-7C4B-4A94-AC27-EF41FC84108E}"/>
    <cellStyle name="SAPBEXundefined" xfId="1735" xr:uid="{1816275E-E5B3-43CC-B1DC-8558B3003DF3}"/>
    <cellStyle name="Satisfaisant" xfId="1736" xr:uid="{DC08D511-2524-4FE4-80C9-A4811129795E}"/>
    <cellStyle name="Satisfaisant 2" xfId="1737" xr:uid="{58F7239F-6EBE-4463-B2BE-A6EB44B7A0AA}"/>
    <cellStyle name="Satisfaisant_FAGOR" xfId="1738" xr:uid="{EC8BADD7-0211-4FF4-A21C-6CABBECAAA79}"/>
    <cellStyle name="Scenario" xfId="1739" xr:uid="{EEA47FC3-78E9-4C82-AEF5-059A71CD26D6}"/>
    <cellStyle name="Scenario 2" xfId="1740" xr:uid="{4BB8A2CE-2D8F-4A81-8F3E-E3BC2244B043}"/>
    <cellStyle name="Scenario_FAGOR" xfId="1741" xr:uid="{F7A555C6-E802-4148-A389-A0CBE054E908}"/>
    <cellStyle name="Schlecht" xfId="1742" xr:uid="{D0816A27-2347-4ECF-99BA-1695F9D62B27}"/>
    <cellStyle name="Schlecht 2" xfId="1743" xr:uid="{36200F1C-5AF9-43ED-BCDB-41EE1EA3FCB0}"/>
    <cellStyle name="Schlecht 3" xfId="1744" xr:uid="{7C4418B7-C579-4377-9520-CE0198B64D59}"/>
    <cellStyle name="Schlecht_FAGOR" xfId="1745" xr:uid="{F24E9F4A-8054-426E-B64A-4ADFC4425FAC}"/>
    <cellStyle name="Semleges" xfId="1746" xr:uid="{98281E88-B5C9-400F-A06F-12ABDD9C4B52}"/>
    <cellStyle name="Semleges 2" xfId="1747" xr:uid="{3407975B-3DA9-4C40-AA26-616084159145}"/>
    <cellStyle name="Separador de milhares_Plan1" xfId="1748" xr:uid="{80211442-3D35-44CA-AF6B-C026D3BB5B9E}"/>
    <cellStyle name="SHADEDSTORES" xfId="1749" xr:uid="{33976D72-BFC0-4A0E-A761-65E01306F691}"/>
    <cellStyle name="SHADEDSTORES 2" xfId="1750" xr:uid="{B866209E-F460-4AFC-87B8-FFE02C217760}"/>
    <cellStyle name="Sheet Title" xfId="1751" xr:uid="{92263624-B36D-4F87-8E42-9459E4F70BAE}"/>
    <cellStyle name="Sheet Title 2" xfId="1752" xr:uid="{8E0EC770-927D-409B-9A6F-2EB79DB45221}"/>
    <cellStyle name="Sheet Title_FAGOR" xfId="1753" xr:uid="{83561F9A-26BB-4353-884E-45F32EE31808}"/>
    <cellStyle name="SheetBackground" xfId="1754" xr:uid="{94A58D26-5316-42EA-BB7B-88DD1C95BA18}"/>
    <cellStyle name="SheetBackground 2" xfId="1755" xr:uid="{FA88F4B8-EF9D-4DDF-9F35-897A3ECD2C55}"/>
    <cellStyle name="SheetBackground_FAGOR" xfId="1756" xr:uid="{940D88C4-F998-4932-85C8-1D744C7088F4}"/>
    <cellStyle name="SheetTitle" xfId="1757" xr:uid="{B958B54C-5DC3-4CEE-9CEA-0E6BD5DA2A6D}"/>
    <cellStyle name="SheetTitle 2" xfId="1758" xr:uid="{4BE5B177-13A8-4DFA-AE40-35B0F790578D}"/>
    <cellStyle name="SheetTitle_FAGOR" xfId="1759" xr:uid="{8EE8ACA1-79EB-4352-9578-962ADA165CC1}"/>
    <cellStyle name="Shell" xfId="1760" xr:uid="{F03C0DD4-3FD0-42A6-9987-6E4C0A2A4D6A}"/>
    <cellStyle name="Shell 2" xfId="1761" xr:uid="{5C432CD1-9D38-4BAA-8119-DC25F5AEDAA8}"/>
    <cellStyle name="Shell_FAGOR" xfId="1762" xr:uid="{5F62D283-67FC-45B5-AB72-82A72CB1E6CB}"/>
    <cellStyle name="Sortie" xfId="1763" xr:uid="{6C49191A-5206-4014-A35A-2A0579B52BD6}"/>
    <cellStyle name="Sortie 2" xfId="1764" xr:uid="{88C6796A-F0EB-4C00-BA2F-768441C2A7EA}"/>
    <cellStyle name="Sortie_FAGOR" xfId="1765" xr:uid="{231BE973-B95F-4D75-86F8-5083A67C7FE2}"/>
    <cellStyle name="specstores" xfId="1766" xr:uid="{AA8DB24B-9690-462A-8A3D-1FDFD99C733D}"/>
    <cellStyle name="specstores 2" xfId="1767" xr:uid="{548F37D9-C398-4AFD-9338-61A05F08057F}"/>
    <cellStyle name="Správně" xfId="1768" xr:uid="{AF787B65-8A1B-4269-ABAE-851D585E4F51}"/>
    <cellStyle name="Správně 2" xfId="1769" xr:uid="{EA900D79-2C63-4958-A51F-0E37FFC6732F}"/>
    <cellStyle name="Správně 2 2" xfId="1770" xr:uid="{0DCFB2C9-F57C-4E0C-A941-8F2B33AFAE99}"/>
    <cellStyle name="Standaard_flux_maakw" xfId="1771" xr:uid="{C35C00B1-73C5-4D51-992B-0DF16B8BBAE6}"/>
    <cellStyle name="STANDARD" xfId="1772" xr:uid="{B59470CF-EE55-4C42-A089-B74A1D224992}"/>
    <cellStyle name="STANDARD 2" xfId="1773" xr:uid="{4C604A34-C23C-4924-95A4-FD48BB930DC1}"/>
    <cellStyle name="STANDARD 2 2" xfId="1774" xr:uid="{AE98D167-FB8C-47FE-B267-A7581CB9097A}"/>
    <cellStyle name="STANDARD 3" xfId="1775" xr:uid="{ABECEB8B-8CAD-454F-BC28-89FA482BD6E9}"/>
    <cellStyle name="STANDARD_FAGOR" xfId="1776" xr:uid="{775ABEDE-1436-4D31-91B1-D73BD4C266FF}"/>
    <cellStyle name="Styl 1" xfId="1777" xr:uid="{EDD54C84-8055-4F37-B10B-C5D476CAE48F}"/>
    <cellStyle name="Styl 1 2" xfId="1778" xr:uid="{8BFBDE3E-0683-4931-A35D-0F585EBB696F}"/>
    <cellStyle name="Styl 1_R1+ R2" xfId="1779" xr:uid="{A52451C3-40EF-4943-932B-B0C8AB4A7C0A}"/>
    <cellStyle name="Styl 2" xfId="1780" xr:uid="{707B43C8-6AFC-4E77-8A11-A9C4C2736DA7}"/>
    <cellStyle name="Styl 2 2" xfId="1781" xr:uid="{D4F92274-68C0-48FA-B8EB-E112A9D557E2}"/>
    <cellStyle name="Styl 2 2 2" xfId="1782" xr:uid="{0C9A46BB-91AF-4F3F-9340-80078E4E7B55}"/>
    <cellStyle name="Styl 2 3" xfId="1783" xr:uid="{7F5343C6-1E38-49DB-8CB6-2B956E40461E}"/>
    <cellStyle name="Style 1" xfId="1784" xr:uid="{3268BD8D-D1F4-47AB-A8DF-77BB8B3E9798}"/>
    <cellStyle name="Style 1 2" xfId="1785" xr:uid="{B45F613B-B8D8-436A-8311-A5F72CE5B722}"/>
    <cellStyle name="Style 1_R1+ R2" xfId="1786" xr:uid="{484D3224-FD83-4ECB-9A21-7B6E7CF26FFB}"/>
    <cellStyle name="Style 2" xfId="1787" xr:uid="{1644F2B6-720F-4CD2-AFB5-436928055047}"/>
    <cellStyle name="Style 2 2" xfId="1788" xr:uid="{2C48E0B5-2BAB-47A3-A179-DC7C6A13BC52}"/>
    <cellStyle name="Style 2 2 2" xfId="1789" xr:uid="{B0D4AB96-27F9-40E2-A8F0-1EA0D24A79DD}"/>
    <cellStyle name="Style 2 3" xfId="1790" xr:uid="{0A38C74A-D09B-4F64-9E4C-8E8065BCEF05}"/>
    <cellStyle name="subhead" xfId="1791" xr:uid="{884DFCA7-F0F9-4680-AEB9-BE07D43B8F06}"/>
    <cellStyle name="subhead 2" xfId="1792" xr:uid="{401F78C3-99C9-4646-9774-DEB4F10549D6}"/>
    <cellStyle name="subhead_FAGOR" xfId="1793" xr:uid="{CCA3E672-7F3B-45F9-B641-2FDEB2E3ACD2}"/>
    <cellStyle name="Subtotal" xfId="1794" xr:uid="{83345273-6D7B-401A-B18E-62501A7AF522}"/>
    <cellStyle name="Suma" xfId="16" builtinId="25" customBuiltin="1"/>
    <cellStyle name="Suma 2" xfId="1795" xr:uid="{651C294E-52F2-4EBD-B050-42D535956F93}"/>
    <cellStyle name="Suma 2 2" xfId="2191" xr:uid="{57976F7F-35F7-43B3-9D87-E8720C15FFB2}"/>
    <cellStyle name="Suma 3" xfId="1796" xr:uid="{26D2ADF1-8E56-49D8-84A4-254A7F429F83}"/>
    <cellStyle name="Suma 3 2" xfId="2201" xr:uid="{3490526A-915E-4848-914F-9121191C5A5F}"/>
    <cellStyle name="Suma 4" xfId="1797" xr:uid="{242159A0-39B3-4385-ABF8-FE159EF2B20C}"/>
    <cellStyle name="Summa" xfId="1798" xr:uid="{A0FFCDE2-265D-41FB-AE22-55332F7CDB65}"/>
    <cellStyle name="Summa 2" xfId="1799" xr:uid="{2159E2D1-3105-4EA8-9A16-95AB95205A3E}"/>
    <cellStyle name="Summa_FAGOR" xfId="1800" xr:uid="{01D0512E-83E1-4D29-B2CA-B204A6129300}"/>
    <cellStyle name="Számítás" xfId="1801" xr:uid="{408ED043-8A11-45A4-BB9C-4011A2E3E16C}"/>
    <cellStyle name="Számítás 2" xfId="1802" xr:uid="{59991EE0-5462-4CB4-A16A-C7080BBB2324}"/>
    <cellStyle name="TableHead" xfId="1803" xr:uid="{0C9DB590-049D-4994-804A-B0794D59AF8B}"/>
    <cellStyle name="TableHead 2" xfId="1804" xr:uid="{D5AB49B0-EBE9-4812-90C3-E7BF9A56FD0D}"/>
    <cellStyle name="TableHead_FAGOR" xfId="1805" xr:uid="{A73565F8-FA8C-4445-B195-301D4A97434E}"/>
    <cellStyle name="Tekst objaśnienia" xfId="15" builtinId="53" customBuiltin="1"/>
    <cellStyle name="Tekst objaśnienia 2" xfId="1806" xr:uid="{C0BFB93C-25AB-4A25-BBC9-8C9F2C770D17}"/>
    <cellStyle name="Tekst objaśnienia 2 2" xfId="2192" xr:uid="{096EC22E-FB0D-4E2A-85B5-2E97A249712C}"/>
    <cellStyle name="Tekst objaśnienia 3" xfId="1807" xr:uid="{1C776ED5-9C07-4485-9453-AC0965DB25D3}"/>
    <cellStyle name="Tekst objaśnienia 4" xfId="1808" xr:uid="{5EEC04DF-A022-4C62-9DD7-43130B9D9C80}"/>
    <cellStyle name="Tekst ostrzeżenia" xfId="14" builtinId="11" customBuiltin="1"/>
    <cellStyle name="Tekst ostrzeżenia 2" xfId="1809" xr:uid="{4BC73EE1-5410-4802-B845-79709362C694}"/>
    <cellStyle name="Tekst ostrzeżenia 2 2" xfId="2193" xr:uid="{3744120D-60EA-479F-BDFD-DBD0AAEF782F}"/>
    <cellStyle name="Tekst ostrzeżenia 3" xfId="1810" xr:uid="{49B5048F-38DF-4775-847C-5D276A790CAB}"/>
    <cellStyle name="Tekst ostrzeżenia 4" xfId="1811" xr:uid="{B2AFAABB-8351-439E-8F4A-0FB9D51BA155}"/>
    <cellStyle name="Text Indent A" xfId="1812" xr:uid="{5C57525A-1D03-43D5-BC14-6B79755014F0}"/>
    <cellStyle name="Text Indent B" xfId="1813" xr:uid="{6CFAEB4C-650A-4F33-9A1D-23BDEC031262}"/>
    <cellStyle name="Text Indent B 2" xfId="1814" xr:uid="{D179BC56-3AC5-4726-8C4E-15774F1C422C}"/>
    <cellStyle name="Text Indent B 2 2" xfId="1815" xr:uid="{8F8F94B1-6E52-4F6A-B1DC-C4D3C1F47CFB}"/>
    <cellStyle name="Text Indent B 3" xfId="1816" xr:uid="{49CE80A6-91C8-4977-88F8-728A42B9FAB1}"/>
    <cellStyle name="Text Indent B_FAGOR" xfId="1817" xr:uid="{FECE32E7-CD2B-43F8-9D95-2B1885EE54D8}"/>
    <cellStyle name="Text Indent C" xfId="1818" xr:uid="{C9ABD0EC-E99A-4260-B011-C7F2D2F2804B}"/>
    <cellStyle name="Text Indent C 2" xfId="1819" xr:uid="{DF5F16C4-DCC2-4ACA-AB19-10256453A5F7}"/>
    <cellStyle name="Text Indent C 2 2" xfId="1820" xr:uid="{2A52A84F-230B-41A0-9406-0E3FBA2ABB70}"/>
    <cellStyle name="Text Indent C 3" xfId="1821" xr:uid="{7B356917-26CF-483E-A70C-8B188EF80AEE}"/>
    <cellStyle name="Text Indent C_FAGOR" xfId="1822" xr:uid="{1D3B9B89-B8B2-42EE-8BE5-45F95940F59B}"/>
    <cellStyle name="Text upozornění" xfId="1823" xr:uid="{DB5DD34F-616F-46D4-9720-87BD12E08E1C}"/>
    <cellStyle name="Text upozornění 2" xfId="1824" xr:uid="{A8891FD2-72AE-47EE-B93D-F6BA331B3D2C}"/>
    <cellStyle name="Text upozornění 2 2" xfId="1825" xr:uid="{A2DD8192-5C79-487F-A543-16CCF5C16DCC}"/>
    <cellStyle name="Texte explicatif" xfId="1826" xr:uid="{56E66F28-95A7-4435-AE6C-A380C3AF7FBB}"/>
    <cellStyle name="Texte explicatif 2" xfId="1827" xr:uid="{117F0F4C-B56A-42F7-AB68-5335DE945C5F}"/>
    <cellStyle name="Texte explicatif_FAGOR" xfId="1828" xr:uid="{DC3CB171-0144-4421-B198-A18B98C623E6}"/>
    <cellStyle name="Title" xfId="1829" xr:uid="{706C9664-CA75-410B-8383-BB221ADAF0BB}"/>
    <cellStyle name="Title 2" xfId="1830" xr:uid="{899BC70D-3146-4BE4-B900-1B56A9520E94}"/>
    <cellStyle name="Titre" xfId="1831" xr:uid="{29C2D6FA-BA50-4832-8C68-B342CB62B5C4}"/>
    <cellStyle name="Titre 2" xfId="1832" xr:uid="{858D749E-B674-4EC7-8F0F-1D7D4FE456F3}"/>
    <cellStyle name="Titre 1" xfId="1833" xr:uid="{6C1E4855-CBBE-460B-89C8-516A5DBD3990}"/>
    <cellStyle name="Titre 1 2" xfId="1834" xr:uid="{3F9FED1C-18D1-45DC-A1AE-1E8DD8AF3648}"/>
    <cellStyle name="Titre 1_FAGOR" xfId="1835" xr:uid="{4FA2FE90-17F3-46CE-BCAB-797D6FDE7D89}"/>
    <cellStyle name="Titre 2" xfId="1836" xr:uid="{3DD8369D-22C3-49D9-8D3D-1B92A77EA3AA}"/>
    <cellStyle name="Titre 2 2" xfId="1837" xr:uid="{651B9AF5-CE13-40E8-96D8-E648DEC9B004}"/>
    <cellStyle name="Titre 2_FAGOR" xfId="1838" xr:uid="{4EC3D475-00DD-4278-9F82-21E9300AC581}"/>
    <cellStyle name="Titre 3" xfId="1839" xr:uid="{21513894-3CD9-44C1-BE96-B109B262A70A}"/>
    <cellStyle name="Titre 3 2" xfId="1840" xr:uid="{78609BDE-46C1-4CC4-9E11-34A8D4FB4FFF}"/>
    <cellStyle name="Titre 3_FAGOR" xfId="1841" xr:uid="{F33B4F31-D3B8-41FF-8F59-BA6FE6C24864}"/>
    <cellStyle name="Titre 4" xfId="1842" xr:uid="{D70EA6CA-9F0D-40F2-A421-258C390DB43B}"/>
    <cellStyle name="Titre 4 2" xfId="1843" xr:uid="{E2C121C0-5FB4-4BE7-A420-3A68FAC5D31D}"/>
    <cellStyle name="Titre 4_FAGOR" xfId="1844" xr:uid="{1DF31567-B1C0-4F54-B812-D59D3D8CB5D8}"/>
    <cellStyle name="Titre_FAGOR" xfId="1845" xr:uid="{1734C206-A4D5-4D9F-9044-0C94060C5F96}"/>
    <cellStyle name="Total" xfId="1846" xr:uid="{A4481FC4-2A02-4FD2-A0CD-7E3E6F8AA9B0}"/>
    <cellStyle name="Total 2" xfId="1847" xr:uid="{20F94A5D-09C3-4BA1-A54F-56CD3DDC78C6}"/>
    <cellStyle name="Tusenskille_Ark1" xfId="1848" xr:uid="{410ED32D-5A0B-4FEE-90F7-6062E5CB7603}"/>
    <cellStyle name="Tusental_Blad1" xfId="1849" xr:uid="{E766D8A1-F702-4848-B5D9-BEC12DD93D01}"/>
    <cellStyle name="Tytuł" xfId="1" builtinId="15" customBuiltin="1"/>
    <cellStyle name="Tytuł 2" xfId="1850" xr:uid="{D859FF3C-C814-469E-8154-7971EF110F56}"/>
    <cellStyle name="Tytuł 2 2" xfId="2194" xr:uid="{7EE86AE7-9F2C-4900-8334-002EB44677BF}"/>
    <cellStyle name="Tytuł 3" xfId="1851" xr:uid="{DD9C64DA-5F78-4E96-8D56-E23C83CF4DFB}"/>
    <cellStyle name="Tytuł 4" xfId="1852" xr:uid="{696AE251-9CEF-4B38-AAAA-5A055EE2A139}"/>
    <cellStyle name="über" xfId="1853" xr:uid="{EDF9FD54-CF07-4F2B-84C4-737D6E4660F2}"/>
    <cellStyle name="Überschrift" xfId="1854" xr:uid="{09258784-8CB1-4BD7-B8E6-72A8E23A23C3}"/>
    <cellStyle name="Überschrift 1" xfId="1855" xr:uid="{B3DCFCB8-528D-4926-B2AE-93C75EF1860B}"/>
    <cellStyle name="Überschrift 1 2" xfId="1856" xr:uid="{7FC61F33-5F50-4C46-ADF1-E72EBEB30734}"/>
    <cellStyle name="Überschrift 1 3" xfId="1857" xr:uid="{3E80C8B5-20F3-43BF-B6A6-B4B392AC7F92}"/>
    <cellStyle name="Überschrift 1_FAGOR" xfId="1858" xr:uid="{3D5236D2-6C88-4BA8-8514-027614BC0281}"/>
    <cellStyle name="Überschrift 10" xfId="1859" xr:uid="{27F84CE6-6240-4273-A5F6-F799C3176525}"/>
    <cellStyle name="Überschrift 11" xfId="1860" xr:uid="{DD00ABE8-4586-4373-93B8-AC043EEC79BB}"/>
    <cellStyle name="Überschrift 12" xfId="1861" xr:uid="{9D3F5D38-C9E3-48C6-B3B0-952D6E8C17A7}"/>
    <cellStyle name="Überschrift 2" xfId="1862" xr:uid="{0A1DA3F7-34D9-4731-8F44-21D4A65438D2}"/>
    <cellStyle name="Überschrift 2 2" xfId="1863" xr:uid="{B2A19B78-483B-44ED-B36B-C388BFA16550}"/>
    <cellStyle name="Überschrift 2 3" xfId="1864" xr:uid="{2FB200AE-5364-413C-BC1B-EEEBF52592E8}"/>
    <cellStyle name="Überschrift 2_FAGOR" xfId="1865" xr:uid="{1F617E03-9203-4906-A015-54D97AC92292}"/>
    <cellStyle name="Überschrift 3" xfId="1866" xr:uid="{B9D3C675-8F8C-4BA0-9C3C-E6670D247D1D}"/>
    <cellStyle name="Überschrift 3 2" xfId="1867" xr:uid="{23FB9A0C-B174-4C7C-88C9-777818535815}"/>
    <cellStyle name="Überschrift 3 3" xfId="1868" xr:uid="{0D9B7BEF-9683-4BA8-BCAC-CCA0A2891675}"/>
    <cellStyle name="Überschrift 3_FAGOR" xfId="1869" xr:uid="{EA4605AB-FE4E-416C-9079-1FD1998B9793}"/>
    <cellStyle name="Überschrift 4" xfId="1870" xr:uid="{F299695E-E206-4B1F-A4EB-A332DFA22716}"/>
    <cellStyle name="Überschrift 4 2" xfId="1871" xr:uid="{2D9154E7-A023-4B9C-BC79-9ED9F1D6A963}"/>
    <cellStyle name="Überschrift 4 3" xfId="1872" xr:uid="{15B37943-9764-4F2E-9B91-59081D9B21B0}"/>
    <cellStyle name="Überschrift 4_FAGOR" xfId="1873" xr:uid="{3B6EDB67-C798-4D4B-A0ED-E93501D6B22C}"/>
    <cellStyle name="Überschrift 5" xfId="1874" xr:uid="{C75A0934-A881-4E09-ABF5-46A331CE0564}"/>
    <cellStyle name="Überschrift 6" xfId="1875" xr:uid="{213075CF-19AB-401F-9FFE-7CE2AD71EA79}"/>
    <cellStyle name="Überschrift 7" xfId="1876" xr:uid="{4FB55109-3383-4B56-BCE2-3145048C00B2}"/>
    <cellStyle name="Überschrift 8" xfId="1877" xr:uid="{CDC80BCE-6AE7-4FA7-884E-52D12124C90A}"/>
    <cellStyle name="Überschrift 9" xfId="1878" xr:uid="{3F4D3837-B7D0-4986-B4B4-D8FCB86530A9}"/>
    <cellStyle name="Überschrift_FAGOR" xfId="1879" xr:uid="{AF956577-2F95-4F37-AEDB-852BB98B8AD1}"/>
    <cellStyle name="UK numbers not shaded" xfId="1880" xr:uid="{42298FAA-51EE-4D1A-A34D-F199EE6708C1}"/>
    <cellStyle name="UK shaded numbers" xfId="1881" xr:uid="{012757C7-D74A-4247-B747-49B033EB320D}"/>
    <cellStyle name="UK shaded total" xfId="1882" xr:uid="{5AF694D2-56F6-4D89-87D6-6D92F13D2409}"/>
    <cellStyle name="UK subtotal not shaded" xfId="1883" xr:uid="{FA00E10F-8110-4B2C-A54B-9176B6CE8D22}"/>
    <cellStyle name="UK total not shaded" xfId="1884" xr:uid="{BF3C670B-918C-4BAA-B671-FF4A64773B9B}"/>
    <cellStyle name="Undefiniert" xfId="1885" xr:uid="{AF52978B-F6E2-4ED6-AA85-5F3D6DCFBA51}"/>
    <cellStyle name="Undefiniert 2" xfId="1886" xr:uid="{3F07EDB9-3660-4DFA-8AC1-3C38650B96AD}"/>
    <cellStyle name="Undefiniert_R1+ R2" xfId="1887" xr:uid="{AA3054D2-CE41-439B-AABD-6817CDD909C4}"/>
    <cellStyle name="Unprot" xfId="1888" xr:uid="{ECE44B2A-920F-4D94-A93D-B9C34DF54048}"/>
    <cellStyle name="Unprot$" xfId="1889" xr:uid="{EC5B2F83-B433-44BD-B5C5-2A05C58C43B7}"/>
    <cellStyle name="Unprot$ 2" xfId="1890" xr:uid="{FD177EEC-37B4-4099-B692-510E06D0E749}"/>
    <cellStyle name="Unprot$_FAGOR" xfId="1891" xr:uid="{A5D6007D-BBED-49C6-A215-4735C97F46CC}"/>
    <cellStyle name="Unprot_FAGOR" xfId="1892" xr:uid="{18DAA5E4-DD89-43AA-AB25-5541F97F3F49}"/>
    <cellStyle name="Unprotect" xfId="1893" xr:uid="{3FFC5C01-EFF7-4AB7-9FA8-4F5BD325E13C}"/>
    <cellStyle name="Update" xfId="1894" xr:uid="{3F577F89-FF42-4BF6-A08D-2F76B285F5CD}"/>
    <cellStyle name="Update 2" xfId="1895" xr:uid="{82C94288-5017-4FF6-B917-B49254448CBB}"/>
    <cellStyle name="Update_FAGOR" xfId="1896" xr:uid="{A99C8F66-E859-4311-880D-4478E7B14DD1}"/>
    <cellStyle name="Utdata" xfId="1897" xr:uid="{062ED038-14EF-479C-850D-DE5A8EEEE8C2}"/>
    <cellStyle name="Utdata 2" xfId="1898" xr:uid="{0BF0FF53-379B-4F50-B8FD-E6FC76AA16C3}"/>
    <cellStyle name="Utdata_FAGOR" xfId="1899" xr:uid="{08055380-7959-496A-AB7B-C6A6439D75B4}"/>
    <cellStyle name="Uwaga 2" xfId="1900" xr:uid="{82B51C79-ABBF-4A4E-ABBF-E5637EA8221B}"/>
    <cellStyle name="Uwaga 2 2" xfId="2030" xr:uid="{15F3F3A4-A44E-4697-B33C-6543A0CBA303}"/>
    <cellStyle name="Uwaga 2 3" xfId="2060" xr:uid="{2C0FBD00-DCBA-44AB-816A-DD9709E3DCA1}"/>
    <cellStyle name="Uwaga 2 4" xfId="2089" xr:uid="{C9D0FA37-5779-4055-BA71-E2184FB0BD2F}"/>
    <cellStyle name="Uwaga 2 5" xfId="2195" xr:uid="{B7B3EEFF-FE54-4348-92D4-D6512CDB8A6B}"/>
    <cellStyle name="Uwaga 3" xfId="1901" xr:uid="{30F2394D-B819-4D04-9417-5879EFB4CC4A}"/>
    <cellStyle name="Uwaga 3 2" xfId="2020" xr:uid="{1A00824A-B948-42D0-8227-B0FABDA4E01E}"/>
    <cellStyle name="Uwaga 3 3" xfId="2202" xr:uid="{6B603996-2AC9-4893-8D94-8030752EFE54}"/>
    <cellStyle name="Uwaga 4" xfId="1902" xr:uid="{7E5AA350-9EAB-4D0F-A5AF-4BA05F4E3EEA}"/>
    <cellStyle name="Uwaga 4 2" xfId="2213" xr:uid="{67690231-D17A-4EE8-93D5-EF2A4117443D}"/>
    <cellStyle name="Uwaga 4 3" xfId="2352" xr:uid="{D147109C-82E6-4368-B521-CBD19BE7C1D0}"/>
    <cellStyle name="Uwaga 4 4" xfId="2411" xr:uid="{BF949A6B-9F13-47A6-9593-3EC28A19D2A4}"/>
    <cellStyle name="Valuta [0]_(OUN 25-10-02) Industrial Investment Plan 2002-2007" xfId="1903" xr:uid="{05FC42AE-8B6C-4402-8900-BFE4029B04DD}"/>
    <cellStyle name="Valuta_(OUN 25-10-02) Industrial Investment Plan 2002-2007" xfId="1904" xr:uid="{61D3C195-A39F-49B6-8307-2BAF0A1AFC4A}"/>
    <cellStyle name="Varningstext" xfId="1905" xr:uid="{ECBC4F7C-AFA3-4CD9-A12F-FD336B326A72}"/>
    <cellStyle name="Varningstext 2" xfId="1906" xr:uid="{65BD89DD-DFCE-43FD-9CB9-E71B18D34702}"/>
    <cellStyle name="Varningstext_FAGOR" xfId="1907" xr:uid="{5DE323E8-DC4F-4B3A-A17D-B9F009387CF6}"/>
    <cellStyle name="Vérification" xfId="1908" xr:uid="{1CEEF3D3-8B19-460C-98FD-D1BE7F550C96}"/>
    <cellStyle name="Vérification 2" xfId="1909" xr:uid="{59C9A196-9BBD-45EF-ABBC-21BFA39955EF}"/>
    <cellStyle name="Vérification_FAGOR" xfId="1910" xr:uid="{3AE9D50F-DB04-46E2-BC24-3271A259CA16}"/>
    <cellStyle name="Verknüpfte Zelle" xfId="1911" xr:uid="{0A4B366F-63F5-416F-B1D6-668F7CE00751}"/>
    <cellStyle name="Verknüpfte Zelle 2" xfId="1912" xr:uid="{659AAE93-DC77-4A07-9426-5B38C35CF202}"/>
    <cellStyle name="Verknüpfte Zelle 3" xfId="1913" xr:uid="{9815ACA5-62B0-4042-ADAC-F63412183E1B}"/>
    <cellStyle name="Verknüpfte Zelle_FAGOR" xfId="1914" xr:uid="{2C8EBCC6-EC2A-4788-A97B-CB692CC46379}"/>
    <cellStyle name="Vstup" xfId="1915" xr:uid="{DCA0ECF4-CABF-4F3C-8D1E-3A744A11F919}"/>
    <cellStyle name="Vstup 2" xfId="1916" xr:uid="{D8E5B099-1F41-49D4-96CD-8D9D7CF25D67}"/>
    <cellStyle name="Vstup 2 2" xfId="1917" xr:uid="{0F33D94B-B54A-4817-99CC-7D7828A29759}"/>
    <cellStyle name="Výpočet" xfId="1918" xr:uid="{DA4A0CB2-2DB9-42E0-B8E2-280E0CE96E5C}"/>
    <cellStyle name="Výpočet 2" xfId="1919" xr:uid="{6E021FC8-C346-4B5D-AD20-3CE23E7AB95D}"/>
    <cellStyle name="Výpočet 2 2" xfId="1920" xr:uid="{E1549A61-C1DC-4A0B-8D3F-21AF0A263AB0}"/>
    <cellStyle name="Výstup" xfId="1921" xr:uid="{774CBA8C-3002-4A45-A9EC-F18F7976B172}"/>
    <cellStyle name="Výstup 2" xfId="1922" xr:uid="{2E2BF048-B731-48F0-ACA9-86FAA8AEB59A}"/>
    <cellStyle name="Výstup 2 2" xfId="1923" xr:uid="{5BB83FC3-D836-4000-8B26-0F89433607FD}"/>
    <cellStyle name="Vysvětlující text" xfId="1924" xr:uid="{9961ABA3-F1B8-43A6-878C-0A324E936F50}"/>
    <cellStyle name="Vysvětlující text 2" xfId="1925" xr:uid="{B6A6BD11-C362-47CF-882B-C4227955497D}"/>
    <cellStyle name="Vysvětlující text 2 2" xfId="1926" xr:uid="{F10F38C3-2D3E-4303-81AE-511CAE1B4AE8}"/>
    <cellStyle name="Währung [0]_!!!GO" xfId="1927" xr:uid="{C7548DAD-8C4A-46E4-8AEC-DCB3CBCC3005}"/>
    <cellStyle name="Währung_!!!GO" xfId="1928" xr:uid="{A6ED6BA6-31FB-425A-922C-6835CAC1AFF1}"/>
    <cellStyle name="Walutowy 10" xfId="2216" xr:uid="{E8A7B074-16EE-4BF8-A9D9-4963A41A1032}"/>
    <cellStyle name="Walutowy 10 2" xfId="2291" xr:uid="{3CDFA9F3-1885-4769-8ABC-AC910BB257CB}"/>
    <cellStyle name="Walutowy 10 3" xfId="2414" xr:uid="{3B55AB99-AF8F-4DD2-AB3F-CA7525E3E145}"/>
    <cellStyle name="Walutowy 11" xfId="2218" xr:uid="{76F94867-8699-4783-870E-F530975A2A7E}"/>
    <cellStyle name="Walutowy 11 2" xfId="2292" xr:uid="{F88EDAF8-18B3-4FA0-B764-3E55343E1790}"/>
    <cellStyle name="Walutowy 11 3" xfId="2416" xr:uid="{2E2CA5BC-988C-45CB-9147-F61DEE4F32B1}"/>
    <cellStyle name="Walutowy 12" xfId="2220" xr:uid="{AD2F5458-F9DB-4AA7-A69C-1685FFA779A2}"/>
    <cellStyle name="Walutowy 12 2" xfId="2293" xr:uid="{25BF23FF-4A0E-4998-92F0-1C16A223EB04}"/>
    <cellStyle name="Walutowy 12 3" xfId="2418" xr:uid="{48CE6653-2C9D-45F7-854D-8FD59C2FC996}"/>
    <cellStyle name="Walutowy 13" xfId="2221" xr:uid="{B922D102-EC32-4A34-89D4-4299DB3FFDAA}"/>
    <cellStyle name="Walutowy 13 2" xfId="2294" xr:uid="{0B75C31F-E163-4956-BA9D-00F9FCA9BDB6}"/>
    <cellStyle name="Walutowy 13 3" xfId="2419" xr:uid="{95D0138B-D495-4F85-A4A2-F6F219644B19}"/>
    <cellStyle name="Walutowy 14" xfId="2223" xr:uid="{160DCA02-BFC5-468F-9BD8-5E6359DAE54B}"/>
    <cellStyle name="Walutowy 14 2" xfId="2298" xr:uid="{74F71B13-2BEB-4993-A6CE-47590EEE9991}"/>
    <cellStyle name="Walutowy 15" xfId="2224" xr:uid="{ADB8BD6D-224D-495C-B0DC-D41AE54ABFE2}"/>
    <cellStyle name="Walutowy 15 2" xfId="2299" xr:uid="{9018AB84-2124-48FA-9A36-57CDD34BFD01}"/>
    <cellStyle name="Walutowy 16" xfId="2225" xr:uid="{96CB47DF-E11A-4AE7-A922-3220AEAC0BAF}"/>
    <cellStyle name="Walutowy 16 2" xfId="2300" xr:uid="{BF0AFFED-0A2F-458F-BC63-A6225F4FD3C0}"/>
    <cellStyle name="Walutowy 17" xfId="2226" xr:uid="{8F92318D-7240-434A-957E-5BB585F072CA}"/>
    <cellStyle name="Walutowy 17 2" xfId="2301" xr:uid="{53514B17-52BC-483D-B234-E9314BF8B477}"/>
    <cellStyle name="Walutowy 18" xfId="2227" xr:uid="{8BCA1A7A-4AEC-4CF5-B6B3-6D31C0AEFB42}"/>
    <cellStyle name="Walutowy 18 2" xfId="2304" xr:uid="{DC76E636-CE73-4142-8D84-85DF77B49B33}"/>
    <cellStyle name="Walutowy 19" xfId="2229" xr:uid="{F0C83F12-2F25-4038-BA25-BF78A9B32F26}"/>
    <cellStyle name="Walutowy 19 2" xfId="2305" xr:uid="{3CCDE455-2EFA-4A6B-A5E4-BA0DFD6C0AC4}"/>
    <cellStyle name="Walutowy 2" xfId="2138" xr:uid="{CEE3B0ED-FD10-45BF-B72B-A3FC0DA36B8E}"/>
    <cellStyle name="Walutowy 2 2" xfId="2169" xr:uid="{E6F156AC-CCDC-490A-8E9F-A47AAD63E83B}"/>
    <cellStyle name="Walutowy 2 2 2" xfId="2285" xr:uid="{9E7197B0-345E-4257-AD82-5B0993E0CD63}"/>
    <cellStyle name="Walutowy 2 2 3" xfId="2394" xr:uid="{8D6041FD-714F-4DA2-9DCF-BD5D9A242831}"/>
    <cellStyle name="Walutowy 2 3" xfId="2280" xr:uid="{F93478B6-46B0-4EFD-8EF4-E5C972DE4FCC}"/>
    <cellStyle name="Walutowy 2 4" xfId="2369" xr:uid="{A377680B-DFC0-490A-AA2A-236BF630EAD7}"/>
    <cellStyle name="Walutowy 20" xfId="2230" xr:uid="{2FDDC3EA-1608-4AB1-ABD7-9006F39EFAC8}"/>
    <cellStyle name="Walutowy 20 2" xfId="2307" xr:uid="{CEAA145A-DEB4-4B3A-9652-4833AD674632}"/>
    <cellStyle name="Walutowy 21" xfId="2231" xr:uid="{5E403196-4A99-4B05-9B75-AF8A8CD6A81F}"/>
    <cellStyle name="Walutowy 21 2" xfId="2308" xr:uid="{5DCFB3FC-CF3E-4CF6-9EA1-380C9D419CBF}"/>
    <cellStyle name="Walutowy 22" xfId="2232" xr:uid="{7758E9F8-4F7E-4DF1-AC7B-13B5C2278869}"/>
    <cellStyle name="Walutowy 22 2" xfId="2309" xr:uid="{337BE3C1-DCFC-4F5D-9065-90985E1D5A60}"/>
    <cellStyle name="Walutowy 23" xfId="2234" xr:uid="{EBEB511C-EABF-4578-8E2E-072117032068}"/>
    <cellStyle name="Walutowy 23 2" xfId="2310" xr:uid="{09436838-A210-458F-ADD5-AFD5DF2A8DB5}"/>
    <cellStyle name="Walutowy 24" xfId="2235" xr:uid="{25AEEF5C-BEB1-4138-85EC-151C5B06272C}"/>
    <cellStyle name="Walutowy 24 2" xfId="2311" xr:uid="{DC79A2F5-667A-443F-89EF-65BC1668D9B2}"/>
    <cellStyle name="Walutowy 25" xfId="2236" xr:uid="{A34FD7D8-1458-484E-9B7E-E8F0AC9006BE}"/>
    <cellStyle name="Walutowy 25 2" xfId="2313" xr:uid="{2B72C77D-535A-49F9-A94B-26ABD972ECA3}"/>
    <cellStyle name="Walutowy 26" xfId="2237" xr:uid="{235B2E01-1FF3-414E-BB94-12D824E6793C}"/>
    <cellStyle name="Walutowy 26 2" xfId="2314" xr:uid="{9CC62418-D451-448B-A7A9-8B3672D7D736}"/>
    <cellStyle name="Walutowy 27" xfId="2238" xr:uid="{2E5EE821-4D95-4FBD-AFFC-CADD2E8D6F79}"/>
    <cellStyle name="Walutowy 27 2" xfId="2315" xr:uid="{19D31D41-A9C3-4C17-B388-659EE80484EA}"/>
    <cellStyle name="Walutowy 28" xfId="2239" xr:uid="{7123B89F-A8E8-4594-ACCE-54C0E48F1A83}"/>
    <cellStyle name="Walutowy 28 2" xfId="2316" xr:uid="{8FFC1E05-0C0B-4B1B-AACC-FDF3FBAC161D}"/>
    <cellStyle name="Walutowy 29" xfId="2317" xr:uid="{EB127FF4-6FB3-419F-88AA-A808AD168778}"/>
    <cellStyle name="Walutowy 3" xfId="2141" xr:uid="{E8655C9E-6815-4D7A-A82B-AA150F680335}"/>
    <cellStyle name="Walutowy 3 2" xfId="2170" xr:uid="{D234DEF9-3EAD-437F-8428-59D5AA429E1E}"/>
    <cellStyle name="Walutowy 3 2 2" xfId="2340" xr:uid="{BE752326-B47B-4967-BE64-82E8D746A8E3}"/>
    <cellStyle name="Walutowy 3 2 3" xfId="2395" xr:uid="{B7758366-3530-473E-9BB2-28448423E806}"/>
    <cellStyle name="Walutowy 3 3" xfId="2281" xr:uid="{52F9D18B-94A2-4609-BBD9-0F62ABC4F9DF}"/>
    <cellStyle name="Walutowy 3 4" xfId="2372" xr:uid="{A485B43B-97B9-45AC-9D05-A70CFA2442FF}"/>
    <cellStyle name="Walutowy 30" xfId="2319" xr:uid="{B126AA71-16E7-4276-8438-90D8B360B432}"/>
    <cellStyle name="Walutowy 31" xfId="2320" xr:uid="{C742FDDB-24AF-4A29-AF6E-6EF679BEEA3A}"/>
    <cellStyle name="Walutowy 32" xfId="2321" xr:uid="{162DE03E-5712-4753-A7E1-CDE0A642A20B}"/>
    <cellStyle name="Walutowy 4" xfId="2171" xr:uid="{4A35BF4F-EE8D-4B41-BB58-FA92D4056BA4}"/>
    <cellStyle name="Walutowy 4 2" xfId="2282" xr:uid="{BC03F32E-3908-4ABF-977D-50A3B72AB805}"/>
    <cellStyle name="Walutowy 4 3" xfId="2396" xr:uid="{C82C8036-B677-4395-8F8E-F46CA72AA53D}"/>
    <cellStyle name="Walutowy 5" xfId="2173" xr:uid="{AB210AF6-FF4C-46FF-BCE2-94973120DB8D}"/>
    <cellStyle name="Walutowy 5 2" xfId="2283" xr:uid="{F797ACF8-D2F6-4492-A6AF-B4A1EBBA4E44}"/>
    <cellStyle name="Walutowy 5 3" xfId="2398" xr:uid="{9A15C4E3-3185-4473-8CC5-3D12C1AE4645}"/>
    <cellStyle name="Walutowy 6" xfId="2197" xr:uid="{602F7BE8-0DEA-4020-8686-44F4D4E30815}"/>
    <cellStyle name="Walutowy 6 2" xfId="2284" xr:uid="{B4817014-BE9C-4B77-9DC6-DAB87F63BE0F}"/>
    <cellStyle name="Walutowy 6 3" xfId="2400" xr:uid="{11E2645A-3197-401A-B9AA-BF64B444C3F7}"/>
    <cellStyle name="Walutowy 7" xfId="2204" xr:uid="{BD50FB35-7B0B-455E-AACA-F9D2CD297F35}"/>
    <cellStyle name="Walutowy 7 2" xfId="2287" xr:uid="{0AD7360B-AC72-41A5-AA5F-077D88E92835}"/>
    <cellStyle name="Walutowy 7 3" xfId="2402" xr:uid="{8AC8B80F-82B3-4431-9634-E8188DD66632}"/>
    <cellStyle name="Walutowy 8" xfId="2212" xr:uid="{BCF844D8-738E-494A-B4FC-281BBB0C1BF9}"/>
    <cellStyle name="Walutowy 8 2" xfId="2288" xr:uid="{88EBB44E-A2F9-4357-9AB6-4271D70D73A6}"/>
    <cellStyle name="Walutowy 8 3" xfId="2410" xr:uid="{3911E9A5-1F31-4999-B461-AF537A857B79}"/>
    <cellStyle name="Walutowy 9" xfId="2215" xr:uid="{06B3E928-13D4-4594-85D7-53BB66E5B616}"/>
    <cellStyle name="Walutowy 9 2" xfId="2290" xr:uid="{01A3FE45-582B-4145-8777-FABCA46B146B}"/>
    <cellStyle name="Walutowy 9 3" xfId="2413" xr:uid="{F782D3F3-49BF-4B66-A263-B2706AA696F7}"/>
    <cellStyle name="Warnender Text" xfId="1929" xr:uid="{6BC4F8BA-4967-42FB-B66A-3E86AB2445DF}"/>
    <cellStyle name="Warnender Text 2" xfId="1930" xr:uid="{4C6E9E70-779B-47BC-A1EB-D331B15214B0}"/>
    <cellStyle name="Warnender Text 3" xfId="1931" xr:uid="{9636702B-672B-44A1-A3C5-55AF49ED3AA6}"/>
    <cellStyle name="Warnender Text_FAGOR" xfId="1932" xr:uid="{C705BF5A-BC2E-405C-8576-52A6592FF0DC}"/>
    <cellStyle name="Warning Text" xfId="1933" xr:uid="{AE90454B-8445-47E6-B1A5-2F08C1AC7DD6}"/>
    <cellStyle name="Warning Text 2" xfId="1934" xr:uid="{13D2B540-B19D-4528-9F9F-82A17683D484}"/>
    <cellStyle name="XL3 Blue" xfId="1935" xr:uid="{D2850384-4418-44FF-BA01-8F8024BE6224}"/>
    <cellStyle name="XL3 Blue 2" xfId="1936" xr:uid="{79B62BEB-290B-4705-AFC4-6CBC7E59007A}"/>
    <cellStyle name="XL3 Blue 2 2" xfId="1937" xr:uid="{4D838B1B-836A-4309-BFEF-BD12120C9208}"/>
    <cellStyle name="XL3 Blue 2 2 2" xfId="1938" xr:uid="{C9CDA4B1-6421-4A83-B043-F8AB48F2EA3C}"/>
    <cellStyle name="XL3 Blue 2 3" xfId="1939" xr:uid="{1C4BAEBB-27C5-4650-A60D-FF8597D050A5}"/>
    <cellStyle name="XL3 Blue 3" xfId="1940" xr:uid="{1F10E889-C6ED-42E8-AFFD-530DD7391EF3}"/>
    <cellStyle name="XL3 Blue 3 2" xfId="1941" xr:uid="{1685D975-8B42-4D2E-B007-4F6E449FD417}"/>
    <cellStyle name="XL3 Blue 4" xfId="1942" xr:uid="{89DAA7CE-5D71-4C02-918E-D5605DF0DB77}"/>
    <cellStyle name="XL3 Green" xfId="1943" xr:uid="{1E2B767E-0403-4499-90C5-C19B3ED4F0FF}"/>
    <cellStyle name="XL3 Green 2" xfId="1944" xr:uid="{6A4612FD-FBFB-4E0B-A320-ECBB3841F441}"/>
    <cellStyle name="XL3 Green 2 2" xfId="1945" xr:uid="{BF0A0558-BA77-4556-8918-D583AA88552C}"/>
    <cellStyle name="XL3 Green 2 2 2" xfId="1946" xr:uid="{24EF6071-F034-4063-8A32-5DA5DAE22881}"/>
    <cellStyle name="XL3 Green 2 3" xfId="1947" xr:uid="{0EAD7D37-A35F-4D70-B582-FFD19CA6A446}"/>
    <cellStyle name="XL3 Green 3" xfId="1948" xr:uid="{90FFC255-8107-40A5-9141-6677A72394B9}"/>
    <cellStyle name="XL3 Green 3 2" xfId="1949" xr:uid="{DED84484-7057-4861-A84D-D4B36263B4A4}"/>
    <cellStyle name="XL3 Green 4" xfId="1950" xr:uid="{706DFE4F-D364-43BC-B7E4-F207A6A9C093}"/>
    <cellStyle name="XL3 Orange" xfId="1951" xr:uid="{4C83E3B2-B0DF-4E7F-8545-50F9C4721727}"/>
    <cellStyle name="XL3 Orange 2" xfId="1952" xr:uid="{9043BE3D-DBD6-4ED9-A894-D3986B2AF9EC}"/>
    <cellStyle name="XL3 Orange 2 2" xfId="1953" xr:uid="{123A51B4-5EDA-493D-8484-DFF5C52BC8A4}"/>
    <cellStyle name="XL3 Orange 2 2 2" xfId="1954" xr:uid="{0DAC505C-7D9A-477B-B45D-40EE73AF9E29}"/>
    <cellStyle name="XL3 Orange 2 3" xfId="1955" xr:uid="{B44DFF51-9157-4E8F-A528-FEEF3A160B3C}"/>
    <cellStyle name="XL3 Orange 3" xfId="1956" xr:uid="{BBB97D31-2AFB-44D3-AC4A-E61166C4A73F}"/>
    <cellStyle name="XL3 Orange 3 2" xfId="1957" xr:uid="{6A12B2EC-633C-4E69-90AB-A9263CAC1F81}"/>
    <cellStyle name="XL3 Orange 4" xfId="1958" xr:uid="{C9EC595B-B99E-4089-ACC3-6D2005102B4F}"/>
    <cellStyle name="XL3 Red" xfId="1959" xr:uid="{D1859EA2-F7B9-4E74-873A-24851FBD9C2A}"/>
    <cellStyle name="XL3 Red 2" xfId="1960" xr:uid="{C1B857CD-209F-474E-A570-E9434F9616C4}"/>
    <cellStyle name="XL3 Red 2 2" xfId="1961" xr:uid="{E89310F6-3DAB-469C-A39A-A01212EE972F}"/>
    <cellStyle name="XL3 Red 2 2 2" xfId="1962" xr:uid="{1E64D76A-8816-493A-B509-667FD67A96F1}"/>
    <cellStyle name="XL3 Red 2 3" xfId="1963" xr:uid="{67AF2F84-1750-4676-9E0E-14635BD3AAA5}"/>
    <cellStyle name="XL3 Red 3" xfId="1964" xr:uid="{BB2FAFF9-6DE0-4D13-9E02-6C7A7F7CD415}"/>
    <cellStyle name="XL3 Red 3 2" xfId="1965" xr:uid="{A3048A7E-7FF5-4F7B-997C-B5A4BBD69E44}"/>
    <cellStyle name="XL3 Red 4" xfId="1966" xr:uid="{E42797F7-AD60-4181-9FB8-72243F03BCC8}"/>
    <cellStyle name="XL3 Yellow" xfId="1967" xr:uid="{66472A02-DFEB-4D6E-906B-5FEDFD9B8F4F}"/>
    <cellStyle name="XL3 Yellow 2" xfId="1968" xr:uid="{1CD50746-6BA3-466D-AAD2-1C30AE7B2757}"/>
    <cellStyle name="XL3 Yellow 2 2" xfId="1969" xr:uid="{E23FC9F6-00EA-4941-8AE2-3ECC3C015F68}"/>
    <cellStyle name="XL3 Yellow 2 2 2" xfId="1970" xr:uid="{82C16B72-F193-4E0C-9CB4-5B6B5B1E20DC}"/>
    <cellStyle name="XL3 Yellow 2 3" xfId="1971" xr:uid="{1E23B736-AADE-4C9D-B2D8-8A034585DB75}"/>
    <cellStyle name="XL3 Yellow 3" xfId="1972" xr:uid="{FA1348CD-9163-46F6-9F08-64D421DDB83A}"/>
    <cellStyle name="XL3 Yellow 3 2" xfId="1973" xr:uid="{AB794455-56C3-42BB-A9A8-9D96D08E2195}"/>
    <cellStyle name="XL3 Yellow 4" xfId="1974" xr:uid="{38ADCC17-012F-4A9A-ACDC-9505106EFD2B}"/>
    <cellStyle name="Zelle überprüfen" xfId="1975" xr:uid="{806777DE-8984-40AC-B69C-331161ABBAA3}"/>
    <cellStyle name="Zelle überprüfen 2" xfId="1976" xr:uid="{41C31C5E-E000-44BE-B4C1-F5BE43FB2C7D}"/>
    <cellStyle name="Zelle überprüfen 3" xfId="1977" xr:uid="{04DDC304-F8CA-448D-94E4-02F506E84CA1}"/>
    <cellStyle name="Zelle überprüfen_FAGOR" xfId="1978" xr:uid="{26BD6DFB-6EA8-4FF6-9843-1FDD6560C545}"/>
    <cellStyle name="zestawienie" xfId="1979" xr:uid="{130E006E-511B-4689-B5E8-131B67D7FF32}"/>
    <cellStyle name="Złe 2" xfId="1980" xr:uid="{A39EE173-D3AA-4686-A685-A4C109DDDC9C}"/>
    <cellStyle name="Złe 3" xfId="1981" xr:uid="{36C34E48-08B5-458E-BE49-0954718E3EA5}"/>
    <cellStyle name="Złe 4" xfId="1982" xr:uid="{FA2E60EF-26D7-4096-BAA0-E129F4C6DBCD}"/>
    <cellStyle name="Zły" xfId="7" builtinId="27" customBuiltin="1"/>
    <cellStyle name="Zvýraznění 1" xfId="1983" xr:uid="{A75812B7-98DC-4125-B4E5-71A4DA19BAA0}"/>
    <cellStyle name="Zvýraznění 1 2" xfId="1984" xr:uid="{A39A3313-4FCB-4658-BB17-77ECFA85226C}"/>
    <cellStyle name="Zvýraznění 1 2 2" xfId="1985" xr:uid="{3B2C28F8-F4B7-4BBF-900F-8A72588FE810}"/>
    <cellStyle name="Zvýraznění 2" xfId="1986" xr:uid="{833BDC3A-1BAD-477F-A42E-F8017BDCC210}"/>
    <cellStyle name="Zvýraznění 2 2" xfId="1987" xr:uid="{8EC2D841-4CBB-48CA-9F07-D4A9681330B3}"/>
    <cellStyle name="Zvýraznění 2 2 2" xfId="1988" xr:uid="{B2CDC784-08E3-4B61-9B2E-09CE17929CA2}"/>
    <cellStyle name="Zvýraznění 3" xfId="1989" xr:uid="{439E6C06-3E80-4E9C-97AA-9549BC2F167B}"/>
    <cellStyle name="Zvýraznění 3 2" xfId="1990" xr:uid="{100F3895-019C-4606-B603-A6AFC6FB5C6A}"/>
    <cellStyle name="Zvýraznění 3 2 2" xfId="1991" xr:uid="{742165C0-BFC2-4F6E-9E67-90DA619EC8AC}"/>
    <cellStyle name="Zvýraznění 4" xfId="1992" xr:uid="{BAF824A9-9F5E-4C4E-B3F6-D6D92832BC36}"/>
    <cellStyle name="Zvýraznění 4 2" xfId="1993" xr:uid="{0F589F67-40AA-4780-A0AD-7F4A50BAADC4}"/>
    <cellStyle name="Zvýraznění 4 2 2" xfId="1994" xr:uid="{0D22092E-159F-4D33-91A2-500FC547D1AE}"/>
    <cellStyle name="Zvýraznění 5" xfId="1995" xr:uid="{E3275033-37BF-40AB-B1EC-432A7B933B7E}"/>
    <cellStyle name="Zvýraznění 5 2" xfId="1996" xr:uid="{AC67BD75-2285-417A-9CD5-E8A67F38B36C}"/>
    <cellStyle name="Zvýraznění 5 2 2" xfId="1997" xr:uid="{15BD3E55-4C61-4990-AEA7-3A648E2AF558}"/>
    <cellStyle name="Zvýraznění 6" xfId="1998" xr:uid="{453AF4E0-4759-489D-9FDC-F5CE28CA6814}"/>
    <cellStyle name="Zvýraznění 6 2" xfId="1999" xr:uid="{1C5D548C-9F1E-4DD6-AB90-5945C94AF2C7}"/>
    <cellStyle name="Zvýraznění 6 2 2" xfId="2000" xr:uid="{20588EAE-D000-475C-8CC1-4EF3A0322110}"/>
    <cellStyle name="Βασικό_Φύλλο1" xfId="2001" xr:uid="{21CA236A-926A-4DE4-9033-4D2E54A658B9}"/>
    <cellStyle name="Обычный_bp 2008 revised template from corporate (3) 24.10.07_Cost англ" xfId="2002" xr:uid="{3FB87F36-BCDE-4502-83FE-C04D7C926234}"/>
    <cellStyle name="Финансовый_Лист1" xfId="2003" xr:uid="{34BED887-4DA2-4289-B545-5B8128D1CB73}"/>
    <cellStyle name="╟쵕ꜩ輲秛녜殝鱽푣㳳ﮧ৫䶈䐀ꌈӣъ辦疒촡骸ࠄ⛃⍍힢怡【挚옔愀奴ᆄ◛ㆶ鸥圊쬧钁藅ǩꓸ滜執忯叙㷄硾ꁤ좮ৡᙚ칏✏觡ᗴ춹ﭴ﷣쿣濛띯嶚師ኳ㉀簃퇴ᓖỉ雀㷎㎭䕻쭒嬉∑鋕︔쵢볟_xdc88_禿讟䦚ꬕ榏瘃獰Ɫ䳐ꛘ䮥椱㑥⎒ᤈဗ瘿䀂죻玘ﳿ譨ꬵ麰애賗첁䑼荛鄽ꎍ⩎㨚镍㲼҅⌆ᝳ浪縲軄渪ↆ퀆" xfId="2004" xr:uid="{36009C89-4E18-421D-93D2-6E8FA524741B}"/>
    <cellStyle name="╟쵕ꜩ輲秛녜殝鱽푣㳳ﮧ৫䶈䐀ꌈӣъ辦疒촡骸ࠄ⛃⍍힢怡【挚옔愀奴ᆄ◛ㆶ鸥圊쬧钁藅ǩꓸ滜執忯叙㷄硾ꁤ좮ৡᙚ칏✏觡ᗴ춹ﭴ﷣쿣濛띯嶚師ኳ㉀簃퇴ᓖỉ雀㷎㎭䕻쭒嬉∑鋕︔쵢볟_xdc88_禿讟䦚ꬕ榏瘃獰Ɫ䳐ꛘ䮥椱㑥⎒ᤈဗ瘿䀂죻玘ﳿ譨ꬵ麰애賗첁䑼荛鄽ꎍ⩎㨚镍㲼҅⌆ᝳ浪縲軄渪ↆ퀆 2" xfId="2005" xr:uid="{C549C473-4A15-4F30-8A41-EDD0D08AA647}"/>
    <cellStyle name="╟쵕ꜩ輲秛녜殝鱽푣㳳ﮧ৫䶈䐀ꌈӣъ辦疒촡骸ࠄ⛃⍍힢怡【挚옔愀奴ᆄ◛ㆶ鸥圊쬧钁藅ǩꓸ滜執忯叙㷄硾ꁤ좮ৡᙚ칏✏觡ᗴ춹ﭴ﷣쿣濛띯嶚師ኳ㉀簃퇴ᓖỉ雀㷎㎭䕻쭒嬉∑鋕︔쵢볟_xdc88_禿讟䦚ꬕ榏瘃獰Ɫ䳐ꛘ䮥椱㑥⎒ᤈဗ瘿䀂죻玘ﳿ譨ꬵ麰애賗첁䑼荛鄽ꎍ⩎㨚镍㲼҅⌆ᝳ浪縲軄渪ↆ퀆 2 2" xfId="2006" xr:uid="{BA090858-31F4-4DCE-9C79-22A8CAB2AD1D}"/>
    <cellStyle name="╟쵕ꜩ輲秛녜殝鱽푣㳳ﮧ৫䶈䐀ꌈӣъ辦疒촡骸ࠄ⛃⍍힢怡【挚옔愀奴ᆄ◛ㆶ鸥圊쬧钁藅ǩꓸ滜執忯叙㷄硾ꁤ좮ৡᙚ칏✏觡ᗴ춹ﭴ﷣쿣濛띯嶚師ኳ㉀簃퇴ᓖỉ雀㷎㎭䕻쭒嬉∑鋕︔쵢볟_xdc88_禿讟䦚ꬕ榏瘃獰Ɫ䳐ꛘ䮥椱㑥⎒ᤈဗ瘿䀂죻玘ﳿ譨ꬵ麰애賗첁䑼荛鄽ꎍ⩎㨚镍㲼҅⌆ᝳ浪縲軄渪ↆ퀆 2 2 2" xfId="2007" xr:uid="{F99C07A7-E253-4B7C-8DBB-A2A9102F9D97}"/>
    <cellStyle name="╟쵕ꜩ輲秛녜殝鱽푣㳳ﮧ৫䶈䐀ꌈӣъ辦疒촡骸ࠄ⛃⍍힢怡【挚옔愀奴ᆄ◛ㆶ鸥圊쬧钁藅ǩꓸ滜執忯叙㷄硾ꁤ좮ৡᙚ칏✏觡ᗴ춹ﭴ﷣쿣濛띯嶚師ኳ㉀簃퇴ᓖỉ雀㷎㎭䕻쭒嬉∑鋕︔쵢볟_xdc88_禿讟䦚ꬕ榏瘃獰Ɫ䳐ꛘ䮥椱㑥⎒ᤈဗ瘿䀂죻玘ﳿ譨ꬵ麰애賗첁䑼荛鄽ꎍ⩎㨚镍㲼҅⌆ᝳ浪縲軄渪ↆ퀆 2 3" xfId="2008" xr:uid="{09C8F9F8-C275-4F72-9E26-51EE3A2D7270}"/>
    <cellStyle name="╟쵕ꜩ輲秛녜殝鱽푣㳳ﮧ৫䶈䐀ꌈӣъ辦疒촡骸ࠄ⛃⍍힢怡【挚옔愀奴ᆄ◛ㆶ鸥圊쬧钁藅ǩꓸ滜執忯叙㷄硾ꁤ좮ৡᙚ칏✏觡ᗴ춹ﭴ﷣쿣濛띯嶚師ኳ㉀簃퇴ᓖỉ雀㷎㎭䕻쭒嬉∑鋕︔쵢볟_xdc88_禿讟䦚ꬕ榏瘃獰Ɫ䳐ꛘ䮥椱㑥⎒ᤈဗ瘿䀂죻玘ﳿ譨ꬵ麰애賗첁䑼荛鄽ꎍ⩎㨚镍㲼҅⌆ᝳ浪縲軄渪ↆ퀆 3" xfId="2009" xr:uid="{182B0F26-1740-4CA4-B320-95C00FECBE62}"/>
    <cellStyle name="╟쵕ꜩ輲秛녜殝鱽푣㳳ﮧ৫䶈䐀ꌈӣъ辦疒촡骸ࠄ⛃⍍힢怡【挚옔愀奴ᆄ◛ㆶ鸥圊쬧钁藅ǩꓸ滜執忯叙㷄硾ꁤ좮ৡᙚ칏✏觡ᗴ춹ﭴ﷣쿣濛띯嶚師ኳ㉀簃퇴ᓖỉ雀㷎㎭䕻쭒嬉∑鋕︔쵢볟_xdc88_禿讟䦚ꬕ榏瘃獰Ɫ䳐ꛘ䮥椱㑥⎒ᤈဗ瘿䀂죻玘ﳿ譨ꬵ麰애賗첁䑼荛鄽ꎍ⩎㨚镍㲼҅⌆ᝳ浪縲軄渪ↆ퀆 3 2" xfId="2010" xr:uid="{9F2F96B0-0AC2-42C1-8E07-9F7A315CF109}"/>
    <cellStyle name="╟쵕ꜩ輲秛녜殝鱽푣㳳ﮧ৫䶈䐀ꌈӣъ辦疒촡骸ࠄ⛃⍍힢怡【挚옔愀奴ᆄ◛ㆶ鸥圊쬧钁藅ǩꓸ滜執忯叙㷄硾ꁤ좮ৡᙚ칏✏觡ᗴ춹ﭴ﷣쿣濛띯嶚師ኳ㉀簃퇴ᓖỉ雀㷎㎭䕻쭒嬉∑鋕︔쵢볟_xdc88_禿讟䦚ꬕ榏瘃獰Ɫ䳐ꛘ䮥椱㑥⎒ᤈဗ瘿䀂죻玘ﳿ譨ꬵ麰애賗첁䑼荛鄽ꎍ⩎㨚镍㲼҅⌆ᝳ浪縲軄渪ↆ퀆 4" xfId="2011" xr:uid="{81EE27D3-8B50-4E75-B5DB-D5302FF0E44A}"/>
    <cellStyle name="╟쵕ꜩ輲秛녜殝鱽푣㳳ﮧ৫䶈䐀ꌈӣъ辦疒촡骸ࠄ⛃⍍힢怡【挚옔愀奴ᆄ◛ㆶ鸥圊쬧钁藅ǩꓸ滜執忯叙㷄硾ꁤ좮ৡᙚ칏✏觡ᗴ춹ﭴ﷣쿣濛띯嶚師ኳ㉀簃퇴ᓖỉ雀㷎㎭䕻쭒嬉∑鋕︔쵢볟_xdc88_禿讟䦚ꬕ榏瘃獰Ɫ䳐ꛘ䮥椱㑥⎒ᤈဗ瘿䀂죻玘ﳿ譨ꬵ麰애賗첁䑼荛鄽ꎍ⩎㨚镍㲼҅⌆ᝳ浪縲軄渪ↆ퀆_FAGOR" xfId="2012" xr:uid="{B5696CFA-3CC6-4B95-81CD-69EFE639F109}"/>
  </cellStyles>
  <dxfs count="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9" formatCode="d/mm/yyyy"/>
    </dxf>
    <dxf>
      <numFmt numFmtId="0" formatCode="General"/>
    </dxf>
    <dxf>
      <numFmt numFmtId="0" formatCode="General"/>
    </dxf>
    <dxf>
      <numFmt numFmtId="19" formatCode="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center" vertical="top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center" vertical="top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19" formatCode="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8459B2-12BF-4C35-89D5-C7CFC00FB861}" name="FirstLane" displayName="FirstLane" ref="A1:J100" totalsRowShown="0">
  <autoFilter ref="A1:J100" xr:uid="{D92F2242-1143-4DD0-AAD6-62BD66B2D27F}"/>
  <tableColumns count="10">
    <tableColumn id="1" xr3:uid="{CE00142F-DC27-4458-8EBF-71EE48788467}" name="Date" dataDxfId="22"/>
    <tableColumn id="2" xr3:uid="{F9D95155-C66B-45E5-BF63-16435C4C5511}" name="Month">
      <calculatedColumnFormula>MONTH(FirstLane[[#This Row],[Date]])</calculatedColumnFormula>
    </tableColumn>
    <tableColumn id="3" xr3:uid="{2944703B-3C02-456F-BA14-4B7F64D1E583}" name="Shift" dataDxfId="21"/>
    <tableColumn id="5" xr3:uid="{D1C011A3-E31F-4DDC-B95E-AD403BD13FC9}" name="TypeClient"/>
    <tableColumn id="6" xr3:uid="{BD88DDAD-A717-4800-911E-A8A72E31E20E}" name="Client"/>
    <tableColumn id="10" xr3:uid="{37E7DB26-868D-4EAA-9A9F-11226C007461}" name="ProductId"/>
    <tableColumn id="12" xr3:uid="{E1E232E5-65C2-44C9-BEBC-9E2B8C80B66D}" name="Param1"/>
    <tableColumn id="13" xr3:uid="{8EC2A863-3C91-42EE-94E6-419F60326004}" name="Param2"/>
    <tableColumn id="14" xr3:uid="{00B6B15D-E616-479C-82B5-32016FFD3025}" name="Param3"/>
    <tableColumn id="17" xr3:uid="{47268C74-FD2B-49CD-A162-C95CD9E47EBD}" name="Param4" dataDxfId="20">
      <calculatedColumnFormula>_xlfn.CONCAT("Definition of id ",FirstLane[[#This Row],[ProductId]])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53D9A9-D411-4C7C-8A6D-B2526AE607F2}" name="SecondLine" displayName="SecondLine" ref="A1:J252" totalsRowShown="0" headerRowDxfId="19">
  <autoFilter ref="A1:J252" xr:uid="{83CF3806-3F6C-49B7-8CC8-849591AA5F60}"/>
  <tableColumns count="10">
    <tableColumn id="1" xr3:uid="{EA288A36-EB71-4560-A2F9-FD909B54624E}" name="Date" dataDxfId="18"/>
    <tableColumn id="2" xr3:uid="{E5703CD5-B68B-4F6C-A21D-73D3820FC2EA}" name="Month">
      <calculatedColumnFormula>MONTH(SecondLine[[#This Row],[Date]])</calculatedColumnFormula>
    </tableColumn>
    <tableColumn id="3" xr3:uid="{B4A19F22-FD28-4182-B6E9-683FAF6B2EA7}" name="Shift" dataDxfId="17"/>
    <tableColumn id="5" xr3:uid="{C0AB047C-5E6F-424E-AC59-DA519CFA1BBF}" name="TypeClient" dataDxfId="16"/>
    <tableColumn id="7" xr3:uid="{92E5360A-517B-4AFA-917B-AB897B06C18B}" name="Client" dataDxfId="15"/>
    <tableColumn id="10" xr3:uid="{F709E3BC-97CB-4B1B-BA0A-1C834C5BEDCF}" name="ProductId"/>
    <tableColumn id="12" xr3:uid="{03B575B7-8426-44C5-A8C1-8E50EA36D7C2}" name="Param1"/>
    <tableColumn id="13" xr3:uid="{10CA17F7-C384-4927-A9D6-612FB5AAC420}" name="Param2" dataDxfId="14"/>
    <tableColumn id="14" xr3:uid="{01180006-F9AD-4DC5-B8C7-EAA326BB4B75}" name="Param3" dataDxfId="13"/>
    <tableColumn id="17" xr3:uid="{2B8C4435-5C17-494B-B9B0-F6A94558E7E9}" name="Param4" dataDxf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538F661-3EE0-45BE-8BDD-54C100815CCB}" name="ThirdLine" displayName="ThirdLine" ref="A1:J251" totalsRowShown="0" headerRowDxfId="11">
  <autoFilter ref="A1:J251" xr:uid="{7D52C267-66F3-4D5E-B9A3-ADFD565C6F8C}"/>
  <tableColumns count="10">
    <tableColumn id="1" xr3:uid="{3DC55C5E-675E-4600-88A5-CD906EAF5638}" name="Date" dataDxfId="10"/>
    <tableColumn id="2" xr3:uid="{57472FF4-25EB-4BBB-B926-7F7FBCC25A97}" name="Month"/>
    <tableColumn id="3" xr3:uid="{3BA35FE3-D1E9-426F-9CCE-587AA676F8A0}" name="Shift" dataDxfId="9"/>
    <tableColumn id="5" xr3:uid="{E7099574-1909-42C2-A056-DAE6E6863BB8}" name="TypeClient"/>
    <tableColumn id="6" xr3:uid="{2CCCB8C7-D190-4DC3-A9AC-7CCA056C35BC}" name="Client"/>
    <tableColumn id="10" xr3:uid="{FC5C2BE5-8A8B-45CD-8C0B-70E67433F09D}" name="ProductId"/>
    <tableColumn id="12" xr3:uid="{805FACBE-0341-4736-898D-B75D63B7F7D9}" name="Param1"/>
    <tableColumn id="13" xr3:uid="{C56FBA97-E1DE-4BD8-93FC-68647BF7C859}" name="Param2"/>
    <tableColumn id="4" xr3:uid="{65D2FF6F-796E-475C-B82E-013C17E70254}" name="Param3"/>
    <tableColumn id="17" xr3:uid="{5C2504D5-D681-43B6-BE49-B1FD508DFC8B}" name="Param4" dataDxf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5512FBE-A0ED-4A2C-B0B1-09D1410D5617}" name="Shifts" displayName="Shifts" ref="A1:E366" totalsRowShown="0">
  <autoFilter ref="A1:E366" xr:uid="{85512FBE-A0ED-4A2C-B0B1-09D1410D5617}"/>
  <tableColumns count="5">
    <tableColumn id="1" xr3:uid="{D0A7F183-F1F5-463A-B8DD-C97CEA98792C}" name="Date" dataDxfId="7"/>
    <tableColumn id="7" xr3:uid="{3F1790B9-BB15-43F5-B308-7590FF94C4B9}" name="Month" dataDxfId="6">
      <calculatedColumnFormula>MONTH(Shifts[[#This Row],[Date]])</calculatedColumnFormula>
    </tableColumn>
    <tableColumn id="2" xr3:uid="{138B2A94-7CD8-40E8-A971-4AB5229021FE}" name="FirstLane" dataDxfId="5">
      <calculatedColumnFormula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calculatedColumnFormula>
    </tableColumn>
    <tableColumn id="3" xr3:uid="{D842DD36-9C43-47C0-B7F6-700D1A4514E8}" name="SecondLine" dataDxfId="4">
      <calculatedColumnFormula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calculatedColumnFormula>
    </tableColumn>
    <tableColumn id="4" xr3:uid="{4BA9B68D-538F-4002-B1DF-7E66E9100105}" name="ThirdLine" dataDxfId="3">
      <calculatedColumnFormula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44361C8-3178-4095-A26D-BFD7B422FF69}" name="MonthShifts" displayName="MonthShifts" ref="A1:D13" totalsRowShown="0">
  <autoFilter ref="A1:D13" xr:uid="{D44361C8-3178-4095-A26D-BFD7B422FF69}"/>
  <tableColumns count="4">
    <tableColumn id="1" xr3:uid="{472B9A00-2D67-40A4-99F7-127291104CF6}" name="Month"/>
    <tableColumn id="2" xr3:uid="{3DEDB7C7-12DD-4B29-AD45-74C6C419EC90}" name="FirstLane" dataDxfId="2">
      <calculatedColumnFormula>SUMIFS(Shifts[FirstLane],Shifts[Month],MonthShifts[[#This Row],[Month]])</calculatedColumnFormula>
    </tableColumn>
    <tableColumn id="3" xr3:uid="{EADDF6DE-3781-44B7-8460-72BC8A2C0477}" name="SecondLine" dataDxfId="1">
      <calculatedColumnFormula>SUMIFS(Shifts[SecondLine],Shifts[Month],MonthShifts[[#This Row],[Month]])</calculatedColumnFormula>
    </tableColumn>
    <tableColumn id="4" xr3:uid="{CBC51360-64F2-43B7-8F59-EB8455DDBD21}" name="ThirdLine" dataDxfId="0">
      <calculatedColumnFormula>SUMIFS(Shifts[ThirdLine],Shifts[Month],MonthShifts[[#This Row],[Month]])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2C4B6-47F9-4BBE-8508-90D7D761CA68}">
  <sheetPr codeName="Arkusz2"/>
  <dimension ref="A1:J100"/>
  <sheetViews>
    <sheetView workbookViewId="0">
      <selection activeCell="F5" sqref="F5"/>
    </sheetView>
  </sheetViews>
  <sheetFormatPr defaultRowHeight="15"/>
  <cols>
    <col min="1" max="1" width="9.85546875" bestFit="1" customWidth="1"/>
    <col min="2" max="2" width="9.42578125" bestFit="1" customWidth="1"/>
    <col min="3" max="3" width="9.28515625" bestFit="1" customWidth="1"/>
    <col min="4" max="4" width="12.85546875" bestFit="1" customWidth="1"/>
    <col min="5" max="5" width="37.140625" bestFit="1" customWidth="1"/>
    <col min="6" max="6" width="17.7109375" bestFit="1" customWidth="1"/>
    <col min="7" max="7" width="9.85546875" bestFit="1" customWidth="1"/>
    <col min="8" max="8" width="11.28515625" bestFit="1" customWidth="1"/>
    <col min="9" max="9" width="12.85546875" bestFit="1" customWidth="1"/>
    <col min="10" max="10" width="31.42578125" bestFit="1" customWidth="1"/>
    <col min="11" max="18" width="12.28515625" bestFit="1" customWidth="1"/>
    <col min="19" max="19" width="4.5703125" bestFit="1" customWidth="1"/>
    <col min="20" max="20" width="10.7109375" bestFit="1" customWidth="1"/>
    <col min="21" max="21" width="11.5703125" bestFit="1" customWidth="1"/>
  </cols>
  <sheetData>
    <row r="1" spans="1:10">
      <c r="A1" t="s">
        <v>53</v>
      </c>
      <c r="B1" t="s">
        <v>52</v>
      </c>
      <c r="C1" t="s">
        <v>51</v>
      </c>
      <c r="D1" t="s">
        <v>44</v>
      </c>
      <c r="E1" t="s">
        <v>43</v>
      </c>
      <c r="F1" t="s">
        <v>42</v>
      </c>
      <c r="G1" t="s">
        <v>38</v>
      </c>
      <c r="H1" t="s">
        <v>39</v>
      </c>
      <c r="I1" t="s">
        <v>40</v>
      </c>
      <c r="J1" t="s">
        <v>41</v>
      </c>
    </row>
    <row r="2" spans="1:10">
      <c r="A2" s="5">
        <v>44936</v>
      </c>
      <c r="B2">
        <f>MONTH(FirstLane[[#This Row],[Date]])</f>
        <v>1</v>
      </c>
      <c r="C2" s="3" t="s">
        <v>1</v>
      </c>
      <c r="D2" t="s">
        <v>45</v>
      </c>
      <c r="E2" t="s">
        <v>48</v>
      </c>
      <c r="F2">
        <v>1</v>
      </c>
      <c r="G2">
        <v>20</v>
      </c>
      <c r="H2">
        <v>500</v>
      </c>
      <c r="I2">
        <v>8</v>
      </c>
      <c r="J2" s="3" t="str">
        <f>_xlfn.CONCAT("Definition of id ",FirstLane[[#This Row],[ProductId]])</f>
        <v>Definition of id 1</v>
      </c>
    </row>
    <row r="3" spans="1:10">
      <c r="A3" s="5">
        <v>44936</v>
      </c>
      <c r="B3">
        <f>MONTH(FirstLane[[#This Row],[Date]])</f>
        <v>1</v>
      </c>
      <c r="C3" s="3" t="s">
        <v>1</v>
      </c>
      <c r="D3" t="s">
        <v>45</v>
      </c>
      <c r="E3" t="s">
        <v>48</v>
      </c>
      <c r="F3">
        <v>2</v>
      </c>
      <c r="G3">
        <v>20</v>
      </c>
      <c r="H3">
        <v>500</v>
      </c>
      <c r="I3">
        <v>8</v>
      </c>
      <c r="J3" s="3" t="str">
        <f>_xlfn.CONCAT("Definition of id ",FirstLane[[#This Row],[ProductId]])</f>
        <v>Definition of id 2</v>
      </c>
    </row>
    <row r="4" spans="1:10">
      <c r="A4" s="5">
        <v>44938</v>
      </c>
      <c r="B4">
        <f>MONTH(FirstLane[[#This Row],[Date]])</f>
        <v>1</v>
      </c>
      <c r="C4" s="3" t="s">
        <v>1</v>
      </c>
      <c r="D4" t="s">
        <v>45</v>
      </c>
      <c r="E4" t="s">
        <v>48</v>
      </c>
      <c r="F4">
        <v>3</v>
      </c>
      <c r="G4">
        <v>20</v>
      </c>
      <c r="H4">
        <v>500</v>
      </c>
      <c r="I4">
        <v>8</v>
      </c>
      <c r="J4" s="3" t="str">
        <f>_xlfn.CONCAT("Definition of id ",FirstLane[[#This Row],[ProductId]])</f>
        <v>Definition of id 3</v>
      </c>
    </row>
    <row r="5" spans="1:10">
      <c r="A5" s="5">
        <v>44938</v>
      </c>
      <c r="B5">
        <f>MONTH(FirstLane[[#This Row],[Date]])</f>
        <v>1</v>
      </c>
      <c r="C5" s="3" t="s">
        <v>1</v>
      </c>
      <c r="D5" t="s">
        <v>45</v>
      </c>
      <c r="E5" t="s">
        <v>48</v>
      </c>
      <c r="F5">
        <v>4</v>
      </c>
      <c r="G5">
        <v>20</v>
      </c>
      <c r="H5">
        <v>500</v>
      </c>
      <c r="I5">
        <v>8</v>
      </c>
      <c r="J5" s="3" t="str">
        <f>_xlfn.CONCAT("Definition of id ",FirstLane[[#This Row],[ProductId]])</f>
        <v>Definition of id 4</v>
      </c>
    </row>
    <row r="6" spans="1:10">
      <c r="A6" s="5">
        <v>44940</v>
      </c>
      <c r="B6">
        <f>MONTH(FirstLane[[#This Row],[Date]])</f>
        <v>1</v>
      </c>
      <c r="C6" s="3" t="s">
        <v>1</v>
      </c>
      <c r="D6" t="s">
        <v>45</v>
      </c>
      <c r="E6" t="s">
        <v>48</v>
      </c>
      <c r="F6">
        <v>5</v>
      </c>
      <c r="G6">
        <v>20</v>
      </c>
      <c r="H6">
        <v>500</v>
      </c>
      <c r="I6">
        <v>8</v>
      </c>
      <c r="J6" s="3" t="str">
        <f>_xlfn.CONCAT("Definition of id ",FirstLane[[#This Row],[ProductId]])</f>
        <v>Definition of id 5</v>
      </c>
    </row>
    <row r="7" spans="1:10">
      <c r="A7" s="5">
        <v>44940</v>
      </c>
      <c r="B7">
        <f>MONTH(FirstLane[[#This Row],[Date]])</f>
        <v>1</v>
      </c>
      <c r="C7" s="3" t="s">
        <v>1</v>
      </c>
      <c r="D7" t="s">
        <v>45</v>
      </c>
      <c r="E7" t="s">
        <v>48</v>
      </c>
      <c r="F7">
        <v>6</v>
      </c>
      <c r="G7">
        <v>20</v>
      </c>
      <c r="H7">
        <v>500</v>
      </c>
      <c r="I7">
        <v>8</v>
      </c>
      <c r="J7" s="3" t="str">
        <f>_xlfn.CONCAT("Definition of id ",FirstLane[[#This Row],[ProductId]])</f>
        <v>Definition of id 6</v>
      </c>
    </row>
    <row r="8" spans="1:10">
      <c r="A8" s="5">
        <v>44942</v>
      </c>
      <c r="B8">
        <f>MONTH(FirstLane[[#This Row],[Date]])</f>
        <v>1</v>
      </c>
      <c r="C8" s="3" t="s">
        <v>1</v>
      </c>
      <c r="D8" t="s">
        <v>45</v>
      </c>
      <c r="E8" t="s">
        <v>48</v>
      </c>
      <c r="F8">
        <v>7</v>
      </c>
      <c r="G8">
        <v>20</v>
      </c>
      <c r="H8">
        <v>500</v>
      </c>
      <c r="I8">
        <v>8</v>
      </c>
      <c r="J8" s="3" t="str">
        <f>_xlfn.CONCAT("Definition of id ",FirstLane[[#This Row],[ProductId]])</f>
        <v>Definition of id 7</v>
      </c>
    </row>
    <row r="9" spans="1:10">
      <c r="A9" s="5">
        <v>44942</v>
      </c>
      <c r="B9">
        <f>MONTH(FirstLane[[#This Row],[Date]])</f>
        <v>1</v>
      </c>
      <c r="C9" s="3" t="s">
        <v>1</v>
      </c>
      <c r="D9" t="s">
        <v>45</v>
      </c>
      <c r="E9" t="s">
        <v>48</v>
      </c>
      <c r="F9">
        <v>8</v>
      </c>
      <c r="G9">
        <v>20</v>
      </c>
      <c r="H9">
        <v>500</v>
      </c>
      <c r="I9">
        <v>8</v>
      </c>
      <c r="J9" s="3" t="str">
        <f>_xlfn.CONCAT("Definition of id ",FirstLane[[#This Row],[ProductId]])</f>
        <v>Definition of id 8</v>
      </c>
    </row>
    <row r="10" spans="1:10">
      <c r="A10" s="5">
        <v>44944</v>
      </c>
      <c r="B10">
        <f>MONTH(FirstLane[[#This Row],[Date]])</f>
        <v>1</v>
      </c>
      <c r="C10" s="3" t="s">
        <v>1</v>
      </c>
      <c r="D10" t="s">
        <v>45</v>
      </c>
      <c r="E10" t="s">
        <v>48</v>
      </c>
      <c r="F10">
        <v>9</v>
      </c>
      <c r="G10">
        <v>20</v>
      </c>
      <c r="H10">
        <v>500</v>
      </c>
      <c r="I10">
        <v>8</v>
      </c>
      <c r="J10" s="3" t="str">
        <f>_xlfn.CONCAT("Definition of id ",FirstLane[[#This Row],[ProductId]])</f>
        <v>Definition of id 9</v>
      </c>
    </row>
    <row r="11" spans="1:10">
      <c r="A11" s="5">
        <v>44944</v>
      </c>
      <c r="B11">
        <f>MONTH(FirstLane[[#This Row],[Date]])</f>
        <v>1</v>
      </c>
      <c r="C11" s="3" t="s">
        <v>0</v>
      </c>
      <c r="D11" t="s">
        <v>45</v>
      </c>
      <c r="E11" t="s">
        <v>48</v>
      </c>
      <c r="F11">
        <v>10</v>
      </c>
      <c r="G11">
        <v>20</v>
      </c>
      <c r="H11">
        <v>500</v>
      </c>
      <c r="I11">
        <v>8</v>
      </c>
      <c r="J11" s="3" t="str">
        <f>_xlfn.CONCAT("Definition of id ",FirstLane[[#This Row],[ProductId]])</f>
        <v>Definition of id 10</v>
      </c>
    </row>
    <row r="12" spans="1:10">
      <c r="A12" s="5">
        <v>44946</v>
      </c>
      <c r="B12">
        <f>MONTH(FirstLane[[#This Row],[Date]])</f>
        <v>1</v>
      </c>
      <c r="C12" s="3" t="s">
        <v>0</v>
      </c>
      <c r="D12" t="s">
        <v>45</v>
      </c>
      <c r="E12" t="s">
        <v>48</v>
      </c>
      <c r="F12">
        <v>11</v>
      </c>
      <c r="G12">
        <v>40</v>
      </c>
      <c r="H12">
        <v>1000</v>
      </c>
      <c r="I12">
        <v>10</v>
      </c>
      <c r="J12" s="3" t="str">
        <f>_xlfn.CONCAT("Definition of id ",FirstLane[[#This Row],[ProductId]])</f>
        <v>Definition of id 11</v>
      </c>
    </row>
    <row r="13" spans="1:10">
      <c r="A13" s="5">
        <v>44946</v>
      </c>
      <c r="B13">
        <f>MONTH(FirstLane[[#This Row],[Date]])</f>
        <v>1</v>
      </c>
      <c r="C13" s="3" t="s">
        <v>0</v>
      </c>
      <c r="D13" t="s">
        <v>45</v>
      </c>
      <c r="E13" t="s">
        <v>48</v>
      </c>
      <c r="F13">
        <v>12</v>
      </c>
      <c r="G13">
        <v>40</v>
      </c>
      <c r="H13">
        <v>1000</v>
      </c>
      <c r="I13">
        <v>10</v>
      </c>
      <c r="J13" s="3" t="str">
        <f>_xlfn.CONCAT("Definition of id ",FirstLane[[#This Row],[ProductId]])</f>
        <v>Definition of id 12</v>
      </c>
    </row>
    <row r="14" spans="1:10">
      <c r="A14" s="5">
        <v>44948</v>
      </c>
      <c r="B14">
        <f>MONTH(FirstLane[[#This Row],[Date]])</f>
        <v>1</v>
      </c>
      <c r="C14" s="3" t="s">
        <v>0</v>
      </c>
      <c r="D14" t="s">
        <v>47</v>
      </c>
      <c r="E14" t="s">
        <v>49</v>
      </c>
      <c r="F14">
        <v>13</v>
      </c>
      <c r="G14">
        <v>40</v>
      </c>
      <c r="H14">
        <v>1000</v>
      </c>
      <c r="I14">
        <v>10</v>
      </c>
      <c r="J14" s="3" t="str">
        <f>_xlfn.CONCAT("Definition of id ",FirstLane[[#This Row],[ProductId]])</f>
        <v>Definition of id 13</v>
      </c>
    </row>
    <row r="15" spans="1:10">
      <c r="A15" s="5">
        <v>44948</v>
      </c>
      <c r="B15">
        <f>MONTH(FirstLane[[#This Row],[Date]])</f>
        <v>1</v>
      </c>
      <c r="C15" s="3" t="s">
        <v>0</v>
      </c>
      <c r="D15" t="s">
        <v>47</v>
      </c>
      <c r="E15" t="s">
        <v>49</v>
      </c>
      <c r="F15">
        <v>14</v>
      </c>
      <c r="G15">
        <v>40</v>
      </c>
      <c r="H15">
        <v>1000</v>
      </c>
      <c r="I15">
        <v>10</v>
      </c>
      <c r="J15" s="3" t="str">
        <f>_xlfn.CONCAT("Definition of id ",FirstLane[[#This Row],[ProductId]])</f>
        <v>Definition of id 14</v>
      </c>
    </row>
    <row r="16" spans="1:10">
      <c r="A16" s="5">
        <v>44950</v>
      </c>
      <c r="B16">
        <f>MONTH(FirstLane[[#This Row],[Date]])</f>
        <v>1</v>
      </c>
      <c r="C16" s="3" t="s">
        <v>0</v>
      </c>
      <c r="D16" t="s">
        <v>47</v>
      </c>
      <c r="E16" t="s">
        <v>49</v>
      </c>
      <c r="F16">
        <v>15</v>
      </c>
      <c r="G16">
        <v>40</v>
      </c>
      <c r="H16">
        <v>1000</v>
      </c>
      <c r="I16">
        <v>10</v>
      </c>
      <c r="J16" s="3" t="str">
        <f>_xlfn.CONCAT("Definition of id ",FirstLane[[#This Row],[ProductId]])</f>
        <v>Definition of id 15</v>
      </c>
    </row>
    <row r="17" spans="1:10">
      <c r="A17" s="5">
        <v>44950</v>
      </c>
      <c r="B17">
        <f>MONTH(FirstLane[[#This Row],[Date]])</f>
        <v>1</v>
      </c>
      <c r="C17" s="3" t="s">
        <v>0</v>
      </c>
      <c r="D17" t="s">
        <v>47</v>
      </c>
      <c r="E17" t="s">
        <v>49</v>
      </c>
      <c r="F17">
        <v>16</v>
      </c>
      <c r="G17">
        <v>40</v>
      </c>
      <c r="H17">
        <v>1000</v>
      </c>
      <c r="I17">
        <v>10</v>
      </c>
      <c r="J17" s="3" t="str">
        <f>_xlfn.CONCAT("Definition of id ",FirstLane[[#This Row],[ProductId]])</f>
        <v>Definition of id 16</v>
      </c>
    </row>
    <row r="18" spans="1:10">
      <c r="A18" s="5">
        <v>44952</v>
      </c>
      <c r="B18">
        <f>MONTH(FirstLane[[#This Row],[Date]])</f>
        <v>1</v>
      </c>
      <c r="C18" s="3" t="s">
        <v>0</v>
      </c>
      <c r="D18" t="s">
        <v>47</v>
      </c>
      <c r="E18" t="s">
        <v>49</v>
      </c>
      <c r="F18">
        <v>17</v>
      </c>
      <c r="G18">
        <v>40</v>
      </c>
      <c r="H18">
        <v>1000</v>
      </c>
      <c r="I18">
        <v>10</v>
      </c>
      <c r="J18" s="3" t="str">
        <f>_xlfn.CONCAT("Definition of id ",FirstLane[[#This Row],[ProductId]])</f>
        <v>Definition of id 17</v>
      </c>
    </row>
    <row r="19" spans="1:10">
      <c r="A19" s="5">
        <v>44952</v>
      </c>
      <c r="B19">
        <f>MONTH(FirstLane[[#This Row],[Date]])</f>
        <v>1</v>
      </c>
      <c r="C19" s="3" t="s">
        <v>0</v>
      </c>
      <c r="D19" t="s">
        <v>47</v>
      </c>
      <c r="E19" t="s">
        <v>49</v>
      </c>
      <c r="F19">
        <v>18</v>
      </c>
      <c r="G19">
        <v>40</v>
      </c>
      <c r="H19">
        <v>1000</v>
      </c>
      <c r="I19">
        <v>10</v>
      </c>
      <c r="J19" s="3" t="str">
        <f>_xlfn.CONCAT("Definition of id ",FirstLane[[#This Row],[ProductId]])</f>
        <v>Definition of id 18</v>
      </c>
    </row>
    <row r="20" spans="1:10">
      <c r="A20" s="5">
        <v>44954</v>
      </c>
      <c r="B20">
        <f>MONTH(FirstLane[[#This Row],[Date]])</f>
        <v>1</v>
      </c>
      <c r="C20" s="3" t="s">
        <v>0</v>
      </c>
      <c r="D20" t="s">
        <v>47</v>
      </c>
      <c r="E20" t="s">
        <v>49</v>
      </c>
      <c r="F20">
        <v>19</v>
      </c>
      <c r="G20">
        <v>40</v>
      </c>
      <c r="H20">
        <v>1000</v>
      </c>
      <c r="I20">
        <v>10</v>
      </c>
      <c r="J20" s="3" t="str">
        <f>_xlfn.CONCAT("Definition of id ",FirstLane[[#This Row],[ProductId]])</f>
        <v>Definition of id 19</v>
      </c>
    </row>
    <row r="21" spans="1:10">
      <c r="A21" s="5">
        <v>44954</v>
      </c>
      <c r="B21">
        <f>MONTH(FirstLane[[#This Row],[Date]])</f>
        <v>1</v>
      </c>
      <c r="C21" s="3" t="s">
        <v>0</v>
      </c>
      <c r="D21" t="s">
        <v>47</v>
      </c>
      <c r="E21" t="s">
        <v>49</v>
      </c>
      <c r="F21">
        <v>20</v>
      </c>
      <c r="G21">
        <v>40</v>
      </c>
      <c r="H21">
        <v>1000</v>
      </c>
      <c r="I21">
        <v>10</v>
      </c>
      <c r="J21" s="3" t="str">
        <f>_xlfn.CONCAT("Definition of id ",FirstLane[[#This Row],[ProductId]])</f>
        <v>Definition of id 20</v>
      </c>
    </row>
    <row r="22" spans="1:10">
      <c r="A22" s="5">
        <v>44956</v>
      </c>
      <c r="B22">
        <f>MONTH(FirstLane[[#This Row],[Date]])</f>
        <v>1</v>
      </c>
      <c r="C22" s="3" t="s">
        <v>0</v>
      </c>
      <c r="D22" t="s">
        <v>47</v>
      </c>
      <c r="E22" t="s">
        <v>49</v>
      </c>
      <c r="F22">
        <v>21</v>
      </c>
      <c r="G22">
        <v>40</v>
      </c>
      <c r="H22">
        <v>1000</v>
      </c>
      <c r="I22">
        <v>10</v>
      </c>
      <c r="J22" s="3" t="str">
        <f>_xlfn.CONCAT("Definition of id ",FirstLane[[#This Row],[ProductId]])</f>
        <v>Definition of id 21</v>
      </c>
    </row>
    <row r="23" spans="1:10">
      <c r="A23" s="5">
        <v>44956</v>
      </c>
      <c r="B23">
        <f>MONTH(FirstLane[[#This Row],[Date]])</f>
        <v>1</v>
      </c>
      <c r="C23" s="3" t="s">
        <v>0</v>
      </c>
      <c r="D23" t="s">
        <v>47</v>
      </c>
      <c r="E23" t="s">
        <v>49</v>
      </c>
      <c r="F23">
        <v>22</v>
      </c>
      <c r="G23">
        <v>40</v>
      </c>
      <c r="H23">
        <v>1000</v>
      </c>
      <c r="I23">
        <v>10</v>
      </c>
      <c r="J23" s="3" t="str">
        <f>_xlfn.CONCAT("Definition of id ",FirstLane[[#This Row],[ProductId]])</f>
        <v>Definition of id 22</v>
      </c>
    </row>
    <row r="24" spans="1:10">
      <c r="A24" s="5">
        <v>44958</v>
      </c>
      <c r="B24">
        <f>MONTH(FirstLane[[#This Row],[Date]])</f>
        <v>2</v>
      </c>
      <c r="C24" s="3" t="s">
        <v>0</v>
      </c>
      <c r="D24" t="s">
        <v>47</v>
      </c>
      <c r="E24" t="s">
        <v>49</v>
      </c>
      <c r="F24">
        <v>23</v>
      </c>
      <c r="G24">
        <v>10</v>
      </c>
      <c r="H24">
        <v>1500</v>
      </c>
      <c r="I24">
        <v>4</v>
      </c>
      <c r="J24" s="3" t="str">
        <f>_xlfn.CONCAT("Definition of id ",FirstLane[[#This Row],[ProductId]])</f>
        <v>Definition of id 23</v>
      </c>
    </row>
    <row r="25" spans="1:10">
      <c r="A25" s="5">
        <v>44958</v>
      </c>
      <c r="B25">
        <f>MONTH(FirstLane[[#This Row],[Date]])</f>
        <v>2</v>
      </c>
      <c r="C25" s="3" t="s">
        <v>1</v>
      </c>
      <c r="D25" t="s">
        <v>47</v>
      </c>
      <c r="E25" t="s">
        <v>49</v>
      </c>
      <c r="F25">
        <v>24</v>
      </c>
      <c r="G25">
        <v>10</v>
      </c>
      <c r="H25">
        <v>1500</v>
      </c>
      <c r="I25">
        <v>4</v>
      </c>
      <c r="J25" s="3" t="str">
        <f>_xlfn.CONCAT("Definition of id ",FirstLane[[#This Row],[ProductId]])</f>
        <v>Definition of id 24</v>
      </c>
    </row>
    <row r="26" spans="1:10">
      <c r="A26" s="5">
        <v>44960</v>
      </c>
      <c r="B26">
        <f>MONTH(FirstLane[[#This Row],[Date]])</f>
        <v>2</v>
      </c>
      <c r="C26" s="3" t="s">
        <v>1</v>
      </c>
      <c r="D26" t="s">
        <v>47</v>
      </c>
      <c r="E26" t="s">
        <v>49</v>
      </c>
      <c r="F26">
        <v>25</v>
      </c>
      <c r="G26">
        <v>10</v>
      </c>
      <c r="H26">
        <v>1500</v>
      </c>
      <c r="I26">
        <v>4</v>
      </c>
      <c r="J26" s="3" t="str">
        <f>_xlfn.CONCAT("Definition of id ",FirstLane[[#This Row],[ProductId]])</f>
        <v>Definition of id 25</v>
      </c>
    </row>
    <row r="27" spans="1:10">
      <c r="A27" s="5">
        <v>44960</v>
      </c>
      <c r="B27">
        <f>MONTH(FirstLane[[#This Row],[Date]])</f>
        <v>2</v>
      </c>
      <c r="C27" s="3" t="s">
        <v>1</v>
      </c>
      <c r="D27" t="s">
        <v>46</v>
      </c>
      <c r="E27" t="s">
        <v>50</v>
      </c>
      <c r="F27">
        <v>26</v>
      </c>
      <c r="G27">
        <v>10</v>
      </c>
      <c r="H27">
        <v>1500</v>
      </c>
      <c r="I27">
        <v>4</v>
      </c>
      <c r="J27" s="3" t="str">
        <f>_xlfn.CONCAT("Definition of id ",FirstLane[[#This Row],[ProductId]])</f>
        <v>Definition of id 26</v>
      </c>
    </row>
    <row r="28" spans="1:10">
      <c r="A28" s="5">
        <v>44962</v>
      </c>
      <c r="B28">
        <f>MONTH(FirstLane[[#This Row],[Date]])</f>
        <v>2</v>
      </c>
      <c r="C28" s="3" t="s">
        <v>1</v>
      </c>
      <c r="D28" t="s">
        <v>46</v>
      </c>
      <c r="E28" t="s">
        <v>50</v>
      </c>
      <c r="F28">
        <v>27</v>
      </c>
      <c r="G28">
        <v>5</v>
      </c>
      <c r="H28">
        <v>200</v>
      </c>
      <c r="I28">
        <v>8</v>
      </c>
      <c r="J28" s="3" t="str">
        <f>_xlfn.CONCAT("Definition of id ",FirstLane[[#This Row],[ProductId]])</f>
        <v>Definition of id 27</v>
      </c>
    </row>
    <row r="29" spans="1:10">
      <c r="A29" s="5">
        <v>44962</v>
      </c>
      <c r="B29">
        <f>MONTH(FirstLane[[#This Row],[Date]])</f>
        <v>2</v>
      </c>
      <c r="C29" s="3" t="s">
        <v>1</v>
      </c>
      <c r="D29" t="s">
        <v>46</v>
      </c>
      <c r="E29" t="s">
        <v>50</v>
      </c>
      <c r="F29">
        <v>28</v>
      </c>
      <c r="G29">
        <v>5</v>
      </c>
      <c r="H29">
        <v>200</v>
      </c>
      <c r="I29">
        <v>8</v>
      </c>
      <c r="J29" s="3" t="str">
        <f>_xlfn.CONCAT("Definition of id ",FirstLane[[#This Row],[ProductId]])</f>
        <v>Definition of id 28</v>
      </c>
    </row>
    <row r="30" spans="1:10">
      <c r="A30" s="5">
        <v>44964</v>
      </c>
      <c r="B30">
        <f>MONTH(FirstLane[[#This Row],[Date]])</f>
        <v>2</v>
      </c>
      <c r="C30" s="3" t="s">
        <v>1</v>
      </c>
      <c r="D30" t="s">
        <v>46</v>
      </c>
      <c r="E30" t="s">
        <v>50</v>
      </c>
      <c r="F30">
        <v>29</v>
      </c>
      <c r="G30">
        <v>5</v>
      </c>
      <c r="H30">
        <v>200</v>
      </c>
      <c r="I30">
        <v>8</v>
      </c>
      <c r="J30" s="3" t="str">
        <f>_xlfn.CONCAT("Definition of id ",FirstLane[[#This Row],[ProductId]])</f>
        <v>Definition of id 29</v>
      </c>
    </row>
    <row r="31" spans="1:10">
      <c r="A31" s="5">
        <v>44964</v>
      </c>
      <c r="B31">
        <f>MONTH(FirstLane[[#This Row],[Date]])</f>
        <v>2</v>
      </c>
      <c r="C31" s="3" t="s">
        <v>1</v>
      </c>
      <c r="D31" t="s">
        <v>46</v>
      </c>
      <c r="E31" t="s">
        <v>50</v>
      </c>
      <c r="F31">
        <v>30</v>
      </c>
      <c r="G31">
        <v>5</v>
      </c>
      <c r="H31">
        <v>200</v>
      </c>
      <c r="I31">
        <v>8</v>
      </c>
      <c r="J31" s="3" t="str">
        <f>_xlfn.CONCAT("Definition of id ",FirstLane[[#This Row],[ProductId]])</f>
        <v>Definition of id 30</v>
      </c>
    </row>
    <row r="32" spans="1:10">
      <c r="A32" s="5">
        <v>44966</v>
      </c>
      <c r="B32">
        <f>MONTH(FirstLane[[#This Row],[Date]])</f>
        <v>2</v>
      </c>
      <c r="C32" s="3" t="s">
        <v>1</v>
      </c>
      <c r="D32" t="s">
        <v>46</v>
      </c>
      <c r="E32" t="s">
        <v>50</v>
      </c>
      <c r="F32">
        <v>31</v>
      </c>
      <c r="G32">
        <v>5</v>
      </c>
      <c r="H32">
        <v>200</v>
      </c>
      <c r="I32">
        <v>8</v>
      </c>
      <c r="J32" s="3" t="str">
        <f>_xlfn.CONCAT("Definition of id ",FirstLane[[#This Row],[ProductId]])</f>
        <v>Definition of id 31</v>
      </c>
    </row>
    <row r="33" spans="1:10">
      <c r="A33" s="5">
        <v>44966</v>
      </c>
      <c r="B33">
        <f>MONTH(FirstLane[[#This Row],[Date]])</f>
        <v>2</v>
      </c>
      <c r="C33" s="3" t="s">
        <v>1</v>
      </c>
      <c r="D33" t="s">
        <v>46</v>
      </c>
      <c r="E33" t="s">
        <v>50</v>
      </c>
      <c r="F33">
        <v>32</v>
      </c>
      <c r="G33">
        <v>5</v>
      </c>
      <c r="H33">
        <v>200</v>
      </c>
      <c r="I33">
        <v>8</v>
      </c>
      <c r="J33" s="3" t="str">
        <f>_xlfn.CONCAT("Definition of id ",FirstLane[[#This Row],[ProductId]])</f>
        <v>Definition of id 32</v>
      </c>
    </row>
    <row r="34" spans="1:10">
      <c r="A34" s="5">
        <v>44968</v>
      </c>
      <c r="B34">
        <f>MONTH(FirstLane[[#This Row],[Date]])</f>
        <v>2</v>
      </c>
      <c r="C34" s="3" t="s">
        <v>0</v>
      </c>
      <c r="D34" t="s">
        <v>46</v>
      </c>
      <c r="E34" t="s">
        <v>50</v>
      </c>
      <c r="F34">
        <v>33</v>
      </c>
      <c r="G34">
        <v>5</v>
      </c>
      <c r="H34">
        <v>200</v>
      </c>
      <c r="I34">
        <v>8</v>
      </c>
      <c r="J34" s="3" t="str">
        <f>_xlfn.CONCAT("Definition of id ",FirstLane[[#This Row],[ProductId]])</f>
        <v>Definition of id 33</v>
      </c>
    </row>
    <row r="35" spans="1:10">
      <c r="A35" s="5">
        <v>44968</v>
      </c>
      <c r="B35">
        <f>MONTH(FirstLane[[#This Row],[Date]])</f>
        <v>2</v>
      </c>
      <c r="C35" s="3" t="s">
        <v>0</v>
      </c>
      <c r="D35" t="s">
        <v>46</v>
      </c>
      <c r="E35" t="s">
        <v>50</v>
      </c>
      <c r="F35">
        <v>34</v>
      </c>
      <c r="G35">
        <v>5</v>
      </c>
      <c r="H35">
        <v>200</v>
      </c>
      <c r="I35">
        <v>8</v>
      </c>
      <c r="J35" s="3" t="str">
        <f>_xlfn.CONCAT("Definition of id ",FirstLane[[#This Row],[ProductId]])</f>
        <v>Definition of id 34</v>
      </c>
    </row>
    <row r="36" spans="1:10">
      <c r="A36" s="5">
        <v>44970</v>
      </c>
      <c r="B36">
        <f>MONTH(FirstLane[[#This Row],[Date]])</f>
        <v>2</v>
      </c>
      <c r="C36" s="3" t="s">
        <v>0</v>
      </c>
      <c r="D36" t="s">
        <v>46</v>
      </c>
      <c r="E36" t="s">
        <v>50</v>
      </c>
      <c r="F36">
        <v>35</v>
      </c>
      <c r="G36">
        <v>5</v>
      </c>
      <c r="H36">
        <v>200</v>
      </c>
      <c r="I36">
        <v>8</v>
      </c>
      <c r="J36" s="3" t="str">
        <f>_xlfn.CONCAT("Definition of id ",FirstLane[[#This Row],[ProductId]])</f>
        <v>Definition of id 35</v>
      </c>
    </row>
    <row r="37" spans="1:10">
      <c r="A37" s="5">
        <v>44970</v>
      </c>
      <c r="B37">
        <f>MONTH(FirstLane[[#This Row],[Date]])</f>
        <v>2</v>
      </c>
      <c r="C37" s="3" t="s">
        <v>0</v>
      </c>
      <c r="D37" t="s">
        <v>46</v>
      </c>
      <c r="E37" t="s">
        <v>50</v>
      </c>
      <c r="F37">
        <v>36</v>
      </c>
      <c r="G37">
        <v>5</v>
      </c>
      <c r="H37">
        <v>200</v>
      </c>
      <c r="I37">
        <v>8</v>
      </c>
      <c r="J37" s="3" t="str">
        <f>_xlfn.CONCAT("Definition of id ",FirstLane[[#This Row],[ProductId]])</f>
        <v>Definition of id 36</v>
      </c>
    </row>
    <row r="38" spans="1:10">
      <c r="A38" s="5">
        <v>44972</v>
      </c>
      <c r="B38">
        <f>MONTH(FirstLane[[#This Row],[Date]])</f>
        <v>2</v>
      </c>
      <c r="C38" s="3" t="s">
        <v>0</v>
      </c>
      <c r="D38" t="s">
        <v>46</v>
      </c>
      <c r="E38" t="s">
        <v>50</v>
      </c>
      <c r="F38">
        <v>37</v>
      </c>
      <c r="G38">
        <v>5</v>
      </c>
      <c r="H38">
        <v>200</v>
      </c>
      <c r="I38">
        <v>8</v>
      </c>
      <c r="J38" s="3" t="str">
        <f>_xlfn.CONCAT("Definition of id ",FirstLane[[#This Row],[ProductId]])</f>
        <v>Definition of id 37</v>
      </c>
    </row>
    <row r="39" spans="1:10">
      <c r="A39" s="5">
        <v>44972</v>
      </c>
      <c r="B39">
        <f>MONTH(FirstLane[[#This Row],[Date]])</f>
        <v>2</v>
      </c>
      <c r="C39" s="3" t="s">
        <v>0</v>
      </c>
      <c r="D39" t="s">
        <v>46</v>
      </c>
      <c r="E39" t="s">
        <v>50</v>
      </c>
      <c r="F39">
        <v>38</v>
      </c>
      <c r="G39">
        <v>60</v>
      </c>
      <c r="H39">
        <v>5000</v>
      </c>
      <c r="I39">
        <v>30</v>
      </c>
      <c r="J39" s="3" t="str">
        <f>_xlfn.CONCAT("Definition of id ",FirstLane[[#This Row],[ProductId]])</f>
        <v>Definition of id 38</v>
      </c>
    </row>
    <row r="40" spans="1:10">
      <c r="A40" s="5">
        <v>44974</v>
      </c>
      <c r="B40">
        <f>MONTH(FirstLane[[#This Row],[Date]])</f>
        <v>2</v>
      </c>
      <c r="C40" s="3" t="s">
        <v>0</v>
      </c>
      <c r="D40" t="s">
        <v>46</v>
      </c>
      <c r="E40" t="s">
        <v>50</v>
      </c>
      <c r="F40">
        <v>39</v>
      </c>
      <c r="G40">
        <v>60</v>
      </c>
      <c r="H40">
        <v>5000</v>
      </c>
      <c r="I40">
        <v>30</v>
      </c>
      <c r="J40" s="3" t="str">
        <f>_xlfn.CONCAT("Definition of id ",FirstLane[[#This Row],[ProductId]])</f>
        <v>Definition of id 39</v>
      </c>
    </row>
    <row r="41" spans="1:10">
      <c r="A41" s="5">
        <v>44974</v>
      </c>
      <c r="B41">
        <f>MONTH(FirstLane[[#This Row],[Date]])</f>
        <v>2</v>
      </c>
      <c r="C41" s="3" t="s">
        <v>1</v>
      </c>
      <c r="D41" t="s">
        <v>46</v>
      </c>
      <c r="E41" t="s">
        <v>50</v>
      </c>
      <c r="F41">
        <v>40</v>
      </c>
      <c r="G41">
        <v>60</v>
      </c>
      <c r="H41">
        <v>5000</v>
      </c>
      <c r="I41">
        <v>30</v>
      </c>
      <c r="J41" s="3" t="str">
        <f>_xlfn.CONCAT("Definition of id ",FirstLane[[#This Row],[ProductId]])</f>
        <v>Definition of id 40</v>
      </c>
    </row>
    <row r="42" spans="1:10">
      <c r="A42" s="5">
        <v>44976</v>
      </c>
      <c r="B42">
        <f>MONTH(FirstLane[[#This Row],[Date]])</f>
        <v>2</v>
      </c>
      <c r="C42" s="3" t="s">
        <v>1</v>
      </c>
      <c r="D42" t="s">
        <v>46</v>
      </c>
      <c r="E42" t="s">
        <v>50</v>
      </c>
      <c r="F42">
        <v>41</v>
      </c>
      <c r="G42">
        <v>60</v>
      </c>
      <c r="H42">
        <v>5000</v>
      </c>
      <c r="I42">
        <v>30</v>
      </c>
      <c r="J42" s="3" t="str">
        <f>_xlfn.CONCAT("Definition of id ",FirstLane[[#This Row],[ProductId]])</f>
        <v>Definition of id 41</v>
      </c>
    </row>
    <row r="43" spans="1:10">
      <c r="A43" s="5">
        <v>44976</v>
      </c>
      <c r="B43">
        <f>MONTH(FirstLane[[#This Row],[Date]])</f>
        <v>2</v>
      </c>
      <c r="C43" s="3" t="s">
        <v>1</v>
      </c>
      <c r="D43" t="s">
        <v>46</v>
      </c>
      <c r="E43" t="s">
        <v>50</v>
      </c>
      <c r="F43">
        <v>42</v>
      </c>
      <c r="G43">
        <v>60</v>
      </c>
      <c r="H43">
        <v>5000</v>
      </c>
      <c r="I43">
        <v>30</v>
      </c>
      <c r="J43" s="3" t="str">
        <f>_xlfn.CONCAT("Definition of id ",FirstLane[[#This Row],[ProductId]])</f>
        <v>Definition of id 42</v>
      </c>
    </row>
    <row r="44" spans="1:10">
      <c r="A44" s="5">
        <v>44978</v>
      </c>
      <c r="B44">
        <f>MONTH(FirstLane[[#This Row],[Date]])</f>
        <v>2</v>
      </c>
      <c r="C44" s="3" t="s">
        <v>1</v>
      </c>
      <c r="D44" t="s">
        <v>46</v>
      </c>
      <c r="E44" t="s">
        <v>50</v>
      </c>
      <c r="F44">
        <v>43</v>
      </c>
      <c r="G44">
        <v>60</v>
      </c>
      <c r="H44">
        <v>5000</v>
      </c>
      <c r="I44">
        <v>30</v>
      </c>
      <c r="J44" s="3" t="str">
        <f>_xlfn.CONCAT("Definition of id ",FirstLane[[#This Row],[ProductId]])</f>
        <v>Definition of id 43</v>
      </c>
    </row>
    <row r="45" spans="1:10">
      <c r="A45" s="5">
        <v>44978</v>
      </c>
      <c r="B45">
        <f>MONTH(FirstLane[[#This Row],[Date]])</f>
        <v>2</v>
      </c>
      <c r="C45" s="3" t="s">
        <v>1</v>
      </c>
      <c r="D45" t="s">
        <v>46</v>
      </c>
      <c r="E45" t="s">
        <v>50</v>
      </c>
      <c r="F45">
        <v>44</v>
      </c>
      <c r="G45">
        <v>60</v>
      </c>
      <c r="H45">
        <v>5000</v>
      </c>
      <c r="I45">
        <v>30</v>
      </c>
      <c r="J45" s="3" t="str">
        <f>_xlfn.CONCAT("Definition of id ",FirstLane[[#This Row],[ProductId]])</f>
        <v>Definition of id 44</v>
      </c>
    </row>
    <row r="46" spans="1:10">
      <c r="A46" s="5">
        <v>44980</v>
      </c>
      <c r="B46">
        <f>MONTH(FirstLane[[#This Row],[Date]])</f>
        <v>2</v>
      </c>
      <c r="C46" s="3" t="s">
        <v>1</v>
      </c>
      <c r="D46" t="s">
        <v>46</v>
      </c>
      <c r="E46" t="s">
        <v>50</v>
      </c>
      <c r="F46">
        <v>45</v>
      </c>
      <c r="G46">
        <v>60</v>
      </c>
      <c r="H46">
        <v>5000</v>
      </c>
      <c r="I46">
        <v>30</v>
      </c>
      <c r="J46" s="3" t="str">
        <f>_xlfn.CONCAT("Definition of id ",FirstLane[[#This Row],[ProductId]])</f>
        <v>Definition of id 45</v>
      </c>
    </row>
    <row r="47" spans="1:10">
      <c r="A47" s="5">
        <v>44980</v>
      </c>
      <c r="B47">
        <f>MONTH(FirstLane[[#This Row],[Date]])</f>
        <v>2</v>
      </c>
      <c r="C47" s="3" t="s">
        <v>1</v>
      </c>
      <c r="D47" t="s">
        <v>46</v>
      </c>
      <c r="E47" t="s">
        <v>50</v>
      </c>
      <c r="F47">
        <v>46</v>
      </c>
      <c r="G47">
        <v>60</v>
      </c>
      <c r="H47">
        <v>5000</v>
      </c>
      <c r="I47">
        <v>30</v>
      </c>
      <c r="J47" s="3" t="str">
        <f>_xlfn.CONCAT("Definition of id ",FirstLane[[#This Row],[ProductId]])</f>
        <v>Definition of id 46</v>
      </c>
    </row>
    <row r="48" spans="1:10">
      <c r="A48" s="5">
        <v>44982</v>
      </c>
      <c r="B48">
        <f>MONTH(FirstLane[[#This Row],[Date]])</f>
        <v>2</v>
      </c>
      <c r="C48" s="3" t="s">
        <v>0</v>
      </c>
      <c r="D48" t="s">
        <v>45</v>
      </c>
      <c r="E48" t="s">
        <v>48</v>
      </c>
      <c r="F48">
        <v>47</v>
      </c>
      <c r="G48">
        <v>60</v>
      </c>
      <c r="H48">
        <v>5000</v>
      </c>
      <c r="I48">
        <v>30</v>
      </c>
      <c r="J48" s="3" t="str">
        <f>_xlfn.CONCAT("Definition of id ",FirstLane[[#This Row],[ProductId]])</f>
        <v>Definition of id 47</v>
      </c>
    </row>
    <row r="49" spans="1:10">
      <c r="A49" s="5">
        <v>44982</v>
      </c>
      <c r="B49">
        <f>MONTH(FirstLane[[#This Row],[Date]])</f>
        <v>2</v>
      </c>
      <c r="C49" s="3" t="s">
        <v>0</v>
      </c>
      <c r="D49" t="s">
        <v>45</v>
      </c>
      <c r="E49" t="s">
        <v>48</v>
      </c>
      <c r="F49">
        <v>48</v>
      </c>
      <c r="G49">
        <v>60</v>
      </c>
      <c r="H49">
        <v>5000</v>
      </c>
      <c r="I49">
        <v>30</v>
      </c>
      <c r="J49" s="3" t="str">
        <f>_xlfn.CONCAT("Definition of id ",FirstLane[[#This Row],[ProductId]])</f>
        <v>Definition of id 48</v>
      </c>
    </row>
    <row r="50" spans="1:10">
      <c r="A50" s="5">
        <v>44984</v>
      </c>
      <c r="B50">
        <f>MONTH(FirstLane[[#This Row],[Date]])</f>
        <v>2</v>
      </c>
      <c r="C50" s="3" t="s">
        <v>0</v>
      </c>
      <c r="D50" t="s">
        <v>45</v>
      </c>
      <c r="E50" t="s">
        <v>48</v>
      </c>
      <c r="F50">
        <v>49</v>
      </c>
      <c r="G50">
        <v>60</v>
      </c>
      <c r="H50">
        <v>5000</v>
      </c>
      <c r="I50">
        <v>30</v>
      </c>
      <c r="J50" s="3" t="str">
        <f>_xlfn.CONCAT("Definition of id ",FirstLane[[#This Row],[ProductId]])</f>
        <v>Definition of id 49</v>
      </c>
    </row>
    <row r="51" spans="1:10">
      <c r="A51" s="5">
        <v>44984</v>
      </c>
      <c r="B51">
        <f>MONTH(FirstLane[[#This Row],[Date]])</f>
        <v>2</v>
      </c>
      <c r="C51" s="3" t="s">
        <v>0</v>
      </c>
      <c r="D51" t="s">
        <v>45</v>
      </c>
      <c r="E51" t="s">
        <v>48</v>
      </c>
      <c r="F51">
        <v>50</v>
      </c>
      <c r="G51">
        <v>60</v>
      </c>
      <c r="H51">
        <v>5000</v>
      </c>
      <c r="I51">
        <v>30</v>
      </c>
      <c r="J51" s="3" t="str">
        <f>_xlfn.CONCAT("Definition of id ",FirstLane[[#This Row],[ProductId]])</f>
        <v>Definition of id 50</v>
      </c>
    </row>
    <row r="52" spans="1:10">
      <c r="A52" s="5">
        <v>44986</v>
      </c>
      <c r="B52">
        <f>MONTH(FirstLane[[#This Row],[Date]])</f>
        <v>3</v>
      </c>
      <c r="C52" s="3" t="s">
        <v>0</v>
      </c>
      <c r="D52" t="s">
        <v>45</v>
      </c>
      <c r="E52" t="s">
        <v>48</v>
      </c>
      <c r="F52">
        <v>51</v>
      </c>
      <c r="G52">
        <v>80</v>
      </c>
      <c r="H52">
        <v>2500</v>
      </c>
      <c r="I52">
        <v>20</v>
      </c>
      <c r="J52" s="3" t="str">
        <f>_xlfn.CONCAT("Definition of id ",FirstLane[[#This Row],[ProductId]])</f>
        <v>Definition of id 51</v>
      </c>
    </row>
    <row r="53" spans="1:10">
      <c r="A53" s="5">
        <v>44986</v>
      </c>
      <c r="B53">
        <f>MONTH(FirstLane[[#This Row],[Date]])</f>
        <v>3</v>
      </c>
      <c r="C53" s="3" t="s">
        <v>0</v>
      </c>
      <c r="D53" t="s">
        <v>45</v>
      </c>
      <c r="E53" t="s">
        <v>48</v>
      </c>
      <c r="F53">
        <v>52</v>
      </c>
      <c r="G53">
        <v>80</v>
      </c>
      <c r="H53">
        <v>2500</v>
      </c>
      <c r="I53">
        <v>20</v>
      </c>
      <c r="J53" s="3" t="str">
        <f>_xlfn.CONCAT("Definition of id ",FirstLane[[#This Row],[ProductId]])</f>
        <v>Definition of id 52</v>
      </c>
    </row>
    <row r="54" spans="1:10">
      <c r="A54" s="5">
        <v>44988</v>
      </c>
      <c r="B54">
        <f>MONTH(FirstLane[[#This Row],[Date]])</f>
        <v>3</v>
      </c>
      <c r="C54" s="3" t="s">
        <v>0</v>
      </c>
      <c r="D54" t="s">
        <v>45</v>
      </c>
      <c r="E54" t="s">
        <v>48</v>
      </c>
      <c r="F54">
        <v>53</v>
      </c>
      <c r="G54">
        <v>80</v>
      </c>
      <c r="H54">
        <v>2500</v>
      </c>
      <c r="I54">
        <v>20</v>
      </c>
      <c r="J54" s="3" t="str">
        <f>_xlfn.CONCAT("Definition of id ",FirstLane[[#This Row],[ProductId]])</f>
        <v>Definition of id 53</v>
      </c>
    </row>
    <row r="55" spans="1:10">
      <c r="A55" s="5">
        <v>44988</v>
      </c>
      <c r="B55">
        <f>MONTH(FirstLane[[#This Row],[Date]])</f>
        <v>3</v>
      </c>
      <c r="C55" s="3" t="s">
        <v>0</v>
      </c>
      <c r="D55" t="s">
        <v>45</v>
      </c>
      <c r="E55" t="s">
        <v>48</v>
      </c>
      <c r="F55">
        <v>54</v>
      </c>
      <c r="G55">
        <v>80</v>
      </c>
      <c r="H55">
        <v>2500</v>
      </c>
      <c r="I55">
        <v>20</v>
      </c>
      <c r="J55" s="3" t="str">
        <f>_xlfn.CONCAT("Definition of id ",FirstLane[[#This Row],[ProductId]])</f>
        <v>Definition of id 54</v>
      </c>
    </row>
    <row r="56" spans="1:10">
      <c r="A56" s="5">
        <v>44990</v>
      </c>
      <c r="B56">
        <f>MONTH(FirstLane[[#This Row],[Date]])</f>
        <v>3</v>
      </c>
      <c r="C56" s="3" t="s">
        <v>0</v>
      </c>
      <c r="D56" t="s">
        <v>47</v>
      </c>
      <c r="E56" t="s">
        <v>49</v>
      </c>
      <c r="F56">
        <v>55</v>
      </c>
      <c r="G56">
        <v>80</v>
      </c>
      <c r="H56">
        <v>2500</v>
      </c>
      <c r="I56">
        <v>20</v>
      </c>
      <c r="J56" s="3" t="str">
        <f>_xlfn.CONCAT("Definition of id ",FirstLane[[#This Row],[ProductId]])</f>
        <v>Definition of id 55</v>
      </c>
    </row>
    <row r="57" spans="1:10">
      <c r="A57" s="5">
        <v>44990</v>
      </c>
      <c r="B57">
        <f>MONTH(FirstLane[[#This Row],[Date]])</f>
        <v>3</v>
      </c>
      <c r="C57" s="3" t="s">
        <v>0</v>
      </c>
      <c r="D57" t="s">
        <v>47</v>
      </c>
      <c r="E57" t="s">
        <v>49</v>
      </c>
      <c r="F57">
        <v>56</v>
      </c>
      <c r="G57">
        <v>80</v>
      </c>
      <c r="H57">
        <v>2500</v>
      </c>
      <c r="I57">
        <v>20</v>
      </c>
      <c r="J57" s="3" t="str">
        <f>_xlfn.CONCAT("Definition of id ",FirstLane[[#This Row],[ProductId]])</f>
        <v>Definition of id 56</v>
      </c>
    </row>
    <row r="58" spans="1:10">
      <c r="A58" s="5">
        <v>44992</v>
      </c>
      <c r="B58">
        <f>MONTH(FirstLane[[#This Row],[Date]])</f>
        <v>3</v>
      </c>
      <c r="C58" s="3" t="s">
        <v>0</v>
      </c>
      <c r="D58" t="s">
        <v>47</v>
      </c>
      <c r="E58" t="s">
        <v>49</v>
      </c>
      <c r="F58">
        <v>57</v>
      </c>
      <c r="G58">
        <v>80</v>
      </c>
      <c r="H58">
        <v>2500</v>
      </c>
      <c r="I58">
        <v>20</v>
      </c>
      <c r="J58" s="3" t="str">
        <f>_xlfn.CONCAT("Definition of id ",FirstLane[[#This Row],[ProductId]])</f>
        <v>Definition of id 57</v>
      </c>
    </row>
    <row r="59" spans="1:10">
      <c r="A59" s="5">
        <v>44992</v>
      </c>
      <c r="B59">
        <f>MONTH(FirstLane[[#This Row],[Date]])</f>
        <v>3</v>
      </c>
      <c r="C59" s="3" t="s">
        <v>0</v>
      </c>
      <c r="D59" t="s">
        <v>47</v>
      </c>
      <c r="E59" t="s">
        <v>49</v>
      </c>
      <c r="F59">
        <v>58</v>
      </c>
      <c r="G59">
        <v>80</v>
      </c>
      <c r="H59">
        <v>2500</v>
      </c>
      <c r="I59">
        <v>20</v>
      </c>
      <c r="J59" s="3" t="str">
        <f>_xlfn.CONCAT("Definition of id ",FirstLane[[#This Row],[ProductId]])</f>
        <v>Definition of id 58</v>
      </c>
    </row>
    <row r="60" spans="1:10">
      <c r="A60" s="5">
        <v>44994</v>
      </c>
      <c r="B60">
        <f>MONTH(FirstLane[[#This Row],[Date]])</f>
        <v>3</v>
      </c>
      <c r="C60" s="3" t="s">
        <v>0</v>
      </c>
      <c r="D60" t="s">
        <v>47</v>
      </c>
      <c r="E60" t="s">
        <v>49</v>
      </c>
      <c r="F60">
        <v>59</v>
      </c>
      <c r="G60">
        <v>80</v>
      </c>
      <c r="H60">
        <v>2500</v>
      </c>
      <c r="I60">
        <v>20</v>
      </c>
      <c r="J60" s="3" t="str">
        <f>_xlfn.CONCAT("Definition of id ",FirstLane[[#This Row],[ProductId]])</f>
        <v>Definition of id 59</v>
      </c>
    </row>
    <row r="61" spans="1:10">
      <c r="A61" s="5">
        <v>44994</v>
      </c>
      <c r="B61">
        <f>MONTH(FirstLane[[#This Row],[Date]])</f>
        <v>3</v>
      </c>
      <c r="C61" s="3" t="s">
        <v>0</v>
      </c>
      <c r="D61" t="s">
        <v>47</v>
      </c>
      <c r="E61" t="s">
        <v>49</v>
      </c>
      <c r="F61">
        <v>60</v>
      </c>
      <c r="G61">
        <v>80</v>
      </c>
      <c r="H61">
        <v>2500</v>
      </c>
      <c r="I61">
        <v>20</v>
      </c>
      <c r="J61" s="3" t="str">
        <f>_xlfn.CONCAT("Definition of id ",FirstLane[[#This Row],[ProductId]])</f>
        <v>Definition of id 60</v>
      </c>
    </row>
    <row r="62" spans="1:10">
      <c r="A62" s="5">
        <v>44996</v>
      </c>
      <c r="B62">
        <f>MONTH(FirstLane[[#This Row],[Date]])</f>
        <v>3</v>
      </c>
      <c r="C62" s="3" t="s">
        <v>0</v>
      </c>
      <c r="D62" t="s">
        <v>47</v>
      </c>
      <c r="E62" t="s">
        <v>49</v>
      </c>
      <c r="F62">
        <v>61</v>
      </c>
      <c r="G62">
        <v>80</v>
      </c>
      <c r="H62">
        <v>2500</v>
      </c>
      <c r="I62">
        <v>20</v>
      </c>
      <c r="J62" s="3" t="str">
        <f>_xlfn.CONCAT("Definition of id ",FirstLane[[#This Row],[ProductId]])</f>
        <v>Definition of id 61</v>
      </c>
    </row>
    <row r="63" spans="1:10">
      <c r="A63" s="5">
        <v>44996</v>
      </c>
      <c r="B63">
        <f>MONTH(FirstLane[[#This Row],[Date]])</f>
        <v>3</v>
      </c>
      <c r="C63" s="3" t="s">
        <v>0</v>
      </c>
      <c r="D63" t="s">
        <v>47</v>
      </c>
      <c r="E63" t="s">
        <v>49</v>
      </c>
      <c r="F63">
        <v>62</v>
      </c>
      <c r="G63">
        <v>80</v>
      </c>
      <c r="H63">
        <v>2500</v>
      </c>
      <c r="I63">
        <v>20</v>
      </c>
      <c r="J63" s="3" t="str">
        <f>_xlfn.CONCAT("Definition of id ",FirstLane[[#This Row],[ProductId]])</f>
        <v>Definition of id 62</v>
      </c>
    </row>
    <row r="64" spans="1:10">
      <c r="A64" s="5">
        <v>44998</v>
      </c>
      <c r="B64">
        <f>MONTH(FirstLane[[#This Row],[Date]])</f>
        <v>3</v>
      </c>
      <c r="C64" s="3" t="s">
        <v>0</v>
      </c>
      <c r="D64" t="s">
        <v>47</v>
      </c>
      <c r="E64" t="s">
        <v>49</v>
      </c>
      <c r="F64">
        <v>63</v>
      </c>
      <c r="G64">
        <v>80</v>
      </c>
      <c r="H64">
        <v>2500</v>
      </c>
      <c r="I64">
        <v>20</v>
      </c>
      <c r="J64" s="3" t="str">
        <f>_xlfn.CONCAT("Definition of id ",FirstLane[[#This Row],[ProductId]])</f>
        <v>Definition of id 63</v>
      </c>
    </row>
    <row r="65" spans="1:10">
      <c r="A65" s="5">
        <v>44998</v>
      </c>
      <c r="B65">
        <f>MONTH(FirstLane[[#This Row],[Date]])</f>
        <v>3</v>
      </c>
      <c r="C65" s="3" t="s">
        <v>0</v>
      </c>
      <c r="D65" t="s">
        <v>47</v>
      </c>
      <c r="E65" t="s">
        <v>49</v>
      </c>
      <c r="F65">
        <v>64</v>
      </c>
      <c r="G65">
        <v>80</v>
      </c>
      <c r="H65">
        <v>2500</v>
      </c>
      <c r="I65">
        <v>20</v>
      </c>
      <c r="J65" s="3" t="str">
        <f>_xlfn.CONCAT("Definition of id ",FirstLane[[#This Row],[ProductId]])</f>
        <v>Definition of id 64</v>
      </c>
    </row>
    <row r="66" spans="1:10">
      <c r="A66" s="5">
        <v>45000</v>
      </c>
      <c r="B66">
        <f>MONTH(FirstLane[[#This Row],[Date]])</f>
        <v>3</v>
      </c>
      <c r="C66" s="3" t="s">
        <v>1</v>
      </c>
      <c r="D66" t="s">
        <v>47</v>
      </c>
      <c r="E66" t="s">
        <v>49</v>
      </c>
      <c r="F66">
        <v>65</v>
      </c>
      <c r="G66">
        <v>4</v>
      </c>
      <c r="H66">
        <v>500</v>
      </c>
      <c r="I66">
        <v>300</v>
      </c>
      <c r="J66" s="3" t="str">
        <f>_xlfn.CONCAT("Definition of id ",FirstLane[[#This Row],[ProductId]])</f>
        <v>Definition of id 65</v>
      </c>
    </row>
    <row r="67" spans="1:10">
      <c r="A67" s="5">
        <v>45000</v>
      </c>
      <c r="B67">
        <f>MONTH(FirstLane[[#This Row],[Date]])</f>
        <v>3</v>
      </c>
      <c r="C67" s="3" t="s">
        <v>1</v>
      </c>
      <c r="D67" t="s">
        <v>45</v>
      </c>
      <c r="E67" t="s">
        <v>48</v>
      </c>
      <c r="F67">
        <v>66</v>
      </c>
      <c r="G67">
        <v>4</v>
      </c>
      <c r="H67">
        <v>500</v>
      </c>
      <c r="I67">
        <v>300</v>
      </c>
      <c r="J67" s="3" t="str">
        <f>_xlfn.CONCAT("Definition of id ",FirstLane[[#This Row],[ProductId]])</f>
        <v>Definition of id 66</v>
      </c>
    </row>
    <row r="68" spans="1:10">
      <c r="A68" s="5">
        <v>45002</v>
      </c>
      <c r="B68">
        <f>MONTH(FirstLane[[#This Row],[Date]])</f>
        <v>3</v>
      </c>
      <c r="C68" s="3" t="s">
        <v>1</v>
      </c>
      <c r="D68" t="s">
        <v>45</v>
      </c>
      <c r="E68" t="s">
        <v>48</v>
      </c>
      <c r="F68">
        <v>67</v>
      </c>
      <c r="G68">
        <v>4</v>
      </c>
      <c r="H68">
        <v>500</v>
      </c>
      <c r="I68">
        <v>300</v>
      </c>
      <c r="J68" s="3" t="str">
        <f>_xlfn.CONCAT("Definition of id ",FirstLane[[#This Row],[ProductId]])</f>
        <v>Definition of id 67</v>
      </c>
    </row>
    <row r="69" spans="1:10">
      <c r="A69" s="5">
        <v>45002</v>
      </c>
      <c r="B69">
        <f>MONTH(FirstLane[[#This Row],[Date]])</f>
        <v>3</v>
      </c>
      <c r="C69" s="3" t="s">
        <v>1</v>
      </c>
      <c r="D69" t="s">
        <v>45</v>
      </c>
      <c r="E69" t="s">
        <v>48</v>
      </c>
      <c r="F69">
        <v>68</v>
      </c>
      <c r="G69">
        <v>4</v>
      </c>
      <c r="H69">
        <v>500</v>
      </c>
      <c r="I69">
        <v>300</v>
      </c>
      <c r="J69" s="3" t="str">
        <f>_xlfn.CONCAT("Definition of id ",FirstLane[[#This Row],[ProductId]])</f>
        <v>Definition of id 68</v>
      </c>
    </row>
    <row r="70" spans="1:10">
      <c r="A70" s="5">
        <v>45004</v>
      </c>
      <c r="B70">
        <f>MONTH(FirstLane[[#This Row],[Date]])</f>
        <v>3</v>
      </c>
      <c r="C70" s="3" t="s">
        <v>0</v>
      </c>
      <c r="D70" t="s">
        <v>45</v>
      </c>
      <c r="E70" t="s">
        <v>48</v>
      </c>
      <c r="F70">
        <v>69</v>
      </c>
      <c r="G70">
        <v>4</v>
      </c>
      <c r="H70">
        <v>500</v>
      </c>
      <c r="I70">
        <v>300</v>
      </c>
      <c r="J70" s="3" t="str">
        <f>_xlfn.CONCAT("Definition of id ",FirstLane[[#This Row],[ProductId]])</f>
        <v>Definition of id 69</v>
      </c>
    </row>
    <row r="71" spans="1:10">
      <c r="A71" s="5">
        <v>45004</v>
      </c>
      <c r="B71">
        <f>MONTH(FirstLane[[#This Row],[Date]])</f>
        <v>3</v>
      </c>
      <c r="C71" s="3" t="s">
        <v>0</v>
      </c>
      <c r="D71" t="s">
        <v>45</v>
      </c>
      <c r="E71" t="s">
        <v>48</v>
      </c>
      <c r="F71">
        <v>70</v>
      </c>
      <c r="G71">
        <v>4</v>
      </c>
      <c r="H71">
        <v>500</v>
      </c>
      <c r="I71">
        <v>300</v>
      </c>
      <c r="J71" s="3" t="str">
        <f>_xlfn.CONCAT("Definition of id ",FirstLane[[#This Row],[ProductId]])</f>
        <v>Definition of id 70</v>
      </c>
    </row>
    <row r="72" spans="1:10">
      <c r="A72" s="5">
        <v>45006</v>
      </c>
      <c r="B72">
        <f>MONTH(FirstLane[[#This Row],[Date]])</f>
        <v>3</v>
      </c>
      <c r="C72" s="3" t="s">
        <v>0</v>
      </c>
      <c r="D72" t="s">
        <v>45</v>
      </c>
      <c r="E72" t="s">
        <v>48</v>
      </c>
      <c r="F72">
        <v>71</v>
      </c>
      <c r="G72">
        <v>4</v>
      </c>
      <c r="H72">
        <v>500</v>
      </c>
      <c r="I72">
        <v>300</v>
      </c>
      <c r="J72" s="3" t="str">
        <f>_xlfn.CONCAT("Definition of id ",FirstLane[[#This Row],[ProductId]])</f>
        <v>Definition of id 71</v>
      </c>
    </row>
    <row r="73" spans="1:10">
      <c r="A73" s="5">
        <v>45006</v>
      </c>
      <c r="B73">
        <f>MONTH(FirstLane[[#This Row],[Date]])</f>
        <v>3</v>
      </c>
      <c r="C73" s="3" t="s">
        <v>0</v>
      </c>
      <c r="D73" t="s">
        <v>45</v>
      </c>
      <c r="E73" t="s">
        <v>48</v>
      </c>
      <c r="F73">
        <v>72</v>
      </c>
      <c r="G73">
        <v>4</v>
      </c>
      <c r="H73">
        <v>500</v>
      </c>
      <c r="I73">
        <v>300</v>
      </c>
      <c r="J73" s="3" t="str">
        <f>_xlfn.CONCAT("Definition of id ",FirstLane[[#This Row],[ProductId]])</f>
        <v>Definition of id 72</v>
      </c>
    </row>
    <row r="74" spans="1:10">
      <c r="A74" s="5">
        <v>45008</v>
      </c>
      <c r="B74">
        <f>MONTH(FirstLane[[#This Row],[Date]])</f>
        <v>3</v>
      </c>
      <c r="C74" s="3" t="s">
        <v>0</v>
      </c>
      <c r="D74" t="s">
        <v>45</v>
      </c>
      <c r="E74" t="s">
        <v>48</v>
      </c>
      <c r="F74">
        <v>73</v>
      </c>
      <c r="G74">
        <v>4</v>
      </c>
      <c r="H74">
        <v>500</v>
      </c>
      <c r="I74">
        <v>300</v>
      </c>
      <c r="J74" s="3" t="str">
        <f>_xlfn.CONCAT("Definition of id ",FirstLane[[#This Row],[ProductId]])</f>
        <v>Definition of id 73</v>
      </c>
    </row>
    <row r="75" spans="1:10">
      <c r="A75" s="5">
        <v>45008</v>
      </c>
      <c r="B75">
        <f>MONTH(FirstLane[[#This Row],[Date]])</f>
        <v>3</v>
      </c>
      <c r="C75" s="3" t="s">
        <v>0</v>
      </c>
      <c r="D75" t="s">
        <v>45</v>
      </c>
      <c r="E75" t="s">
        <v>48</v>
      </c>
      <c r="F75">
        <v>74</v>
      </c>
      <c r="G75">
        <v>4</v>
      </c>
      <c r="H75">
        <v>500</v>
      </c>
      <c r="I75">
        <v>300</v>
      </c>
      <c r="J75" s="3" t="str">
        <f>_xlfn.CONCAT("Definition of id ",FirstLane[[#This Row],[ProductId]])</f>
        <v>Definition of id 74</v>
      </c>
    </row>
    <row r="76" spans="1:10">
      <c r="A76" s="5">
        <v>45010</v>
      </c>
      <c r="B76">
        <f>MONTH(FirstLane[[#This Row],[Date]])</f>
        <v>3</v>
      </c>
      <c r="C76" s="3" t="s">
        <v>0</v>
      </c>
      <c r="D76" t="s">
        <v>45</v>
      </c>
      <c r="E76" t="s">
        <v>48</v>
      </c>
      <c r="F76">
        <v>75</v>
      </c>
      <c r="G76">
        <v>4</v>
      </c>
      <c r="H76">
        <v>500</v>
      </c>
      <c r="I76">
        <v>300</v>
      </c>
      <c r="J76" s="3" t="str">
        <f>_xlfn.CONCAT("Definition of id ",FirstLane[[#This Row],[ProductId]])</f>
        <v>Definition of id 75</v>
      </c>
    </row>
    <row r="77" spans="1:10">
      <c r="A77" s="5">
        <v>45010</v>
      </c>
      <c r="B77">
        <f>MONTH(FirstLane[[#This Row],[Date]])</f>
        <v>3</v>
      </c>
      <c r="C77" s="3" t="s">
        <v>0</v>
      </c>
      <c r="D77" t="s">
        <v>45</v>
      </c>
      <c r="E77" t="s">
        <v>48</v>
      </c>
      <c r="F77">
        <v>76</v>
      </c>
      <c r="G77">
        <v>4</v>
      </c>
      <c r="H77">
        <v>500</v>
      </c>
      <c r="I77">
        <v>300</v>
      </c>
      <c r="J77" s="3" t="str">
        <f>_xlfn.CONCAT("Definition of id ",FirstLane[[#This Row],[ProductId]])</f>
        <v>Definition of id 76</v>
      </c>
    </row>
    <row r="78" spans="1:10">
      <c r="A78" s="5">
        <v>45012</v>
      </c>
      <c r="B78">
        <f>MONTH(FirstLane[[#This Row],[Date]])</f>
        <v>3</v>
      </c>
      <c r="C78" s="3" t="s">
        <v>0</v>
      </c>
      <c r="D78" t="s">
        <v>45</v>
      </c>
      <c r="E78" t="s">
        <v>48</v>
      </c>
      <c r="F78">
        <v>77</v>
      </c>
      <c r="G78">
        <v>4</v>
      </c>
      <c r="H78">
        <v>500</v>
      </c>
      <c r="I78">
        <v>300</v>
      </c>
      <c r="J78" s="3" t="str">
        <f>_xlfn.CONCAT("Definition of id ",FirstLane[[#This Row],[ProductId]])</f>
        <v>Definition of id 77</v>
      </c>
    </row>
    <row r="79" spans="1:10">
      <c r="A79" s="5">
        <v>45012</v>
      </c>
      <c r="B79">
        <f>MONTH(FirstLane[[#This Row],[Date]])</f>
        <v>3</v>
      </c>
      <c r="C79" s="3" t="s">
        <v>0</v>
      </c>
      <c r="D79" t="s">
        <v>45</v>
      </c>
      <c r="E79" t="s">
        <v>48</v>
      </c>
      <c r="F79">
        <v>78</v>
      </c>
      <c r="G79">
        <v>4</v>
      </c>
      <c r="H79">
        <v>500</v>
      </c>
      <c r="I79">
        <v>300</v>
      </c>
      <c r="J79" s="3" t="str">
        <f>_xlfn.CONCAT("Definition of id ",FirstLane[[#This Row],[ProductId]])</f>
        <v>Definition of id 78</v>
      </c>
    </row>
    <row r="80" spans="1:10">
      <c r="A80" s="5">
        <v>45014</v>
      </c>
      <c r="B80">
        <f>MONTH(FirstLane[[#This Row],[Date]])</f>
        <v>3</v>
      </c>
      <c r="C80" s="3" t="s">
        <v>0</v>
      </c>
      <c r="D80" t="s">
        <v>45</v>
      </c>
      <c r="E80" t="s">
        <v>48</v>
      </c>
      <c r="F80">
        <v>79</v>
      </c>
      <c r="G80">
        <v>4</v>
      </c>
      <c r="H80">
        <v>500</v>
      </c>
      <c r="I80">
        <v>300</v>
      </c>
      <c r="J80" s="3" t="str">
        <f>_xlfn.CONCAT("Definition of id ",FirstLane[[#This Row],[ProductId]])</f>
        <v>Definition of id 79</v>
      </c>
    </row>
    <row r="81" spans="1:10">
      <c r="A81" s="5">
        <v>45014</v>
      </c>
      <c r="B81">
        <f>MONTH(FirstLane[[#This Row],[Date]])</f>
        <v>3</v>
      </c>
      <c r="C81" s="3" t="s">
        <v>1</v>
      </c>
      <c r="D81" t="s">
        <v>45</v>
      </c>
      <c r="E81" t="s">
        <v>48</v>
      </c>
      <c r="F81">
        <v>80</v>
      </c>
      <c r="G81">
        <v>60</v>
      </c>
      <c r="H81">
        <v>5000</v>
      </c>
      <c r="I81">
        <v>30</v>
      </c>
      <c r="J81" s="3" t="str">
        <f>_xlfn.CONCAT("Definition of id ",FirstLane[[#This Row],[ProductId]])</f>
        <v>Definition of id 80</v>
      </c>
    </row>
    <row r="82" spans="1:10">
      <c r="A82" s="5">
        <v>45016</v>
      </c>
      <c r="B82">
        <f>MONTH(FirstLane[[#This Row],[Date]])</f>
        <v>3</v>
      </c>
      <c r="C82" s="3" t="s">
        <v>1</v>
      </c>
      <c r="D82" t="s">
        <v>45</v>
      </c>
      <c r="E82" t="s">
        <v>48</v>
      </c>
      <c r="F82">
        <v>81</v>
      </c>
      <c r="G82">
        <v>60</v>
      </c>
      <c r="H82">
        <v>5000</v>
      </c>
      <c r="I82">
        <v>30</v>
      </c>
      <c r="J82" s="3" t="str">
        <f>_xlfn.CONCAT("Definition of id ",FirstLane[[#This Row],[ProductId]])</f>
        <v>Definition of id 81</v>
      </c>
    </row>
    <row r="83" spans="1:10">
      <c r="A83" s="5">
        <v>45016</v>
      </c>
      <c r="B83">
        <f>MONTH(FirstLane[[#This Row],[Date]])</f>
        <v>3</v>
      </c>
      <c r="C83" s="3" t="s">
        <v>1</v>
      </c>
      <c r="D83" t="s">
        <v>47</v>
      </c>
      <c r="E83" t="s">
        <v>49</v>
      </c>
      <c r="F83">
        <v>82</v>
      </c>
      <c r="G83">
        <v>60</v>
      </c>
      <c r="H83">
        <v>5000</v>
      </c>
      <c r="I83">
        <v>30</v>
      </c>
      <c r="J83" s="3" t="str">
        <f>_xlfn.CONCAT("Definition of id ",FirstLane[[#This Row],[ProductId]])</f>
        <v>Definition of id 82</v>
      </c>
    </row>
    <row r="84" spans="1:10">
      <c r="A84" s="5">
        <v>45018</v>
      </c>
      <c r="B84">
        <f>MONTH(FirstLane[[#This Row],[Date]])</f>
        <v>4</v>
      </c>
      <c r="C84" s="3" t="s">
        <v>0</v>
      </c>
      <c r="D84" t="s">
        <v>47</v>
      </c>
      <c r="E84" t="s">
        <v>49</v>
      </c>
      <c r="F84">
        <v>83</v>
      </c>
      <c r="G84">
        <v>80</v>
      </c>
      <c r="H84">
        <v>2500</v>
      </c>
      <c r="I84">
        <v>20</v>
      </c>
      <c r="J84" s="3" t="str">
        <f>_xlfn.CONCAT("Definition of id ",FirstLane[[#This Row],[ProductId]])</f>
        <v>Definition of id 83</v>
      </c>
    </row>
    <row r="85" spans="1:10">
      <c r="A85" s="5">
        <v>45018</v>
      </c>
      <c r="B85">
        <f>MONTH(FirstLane[[#This Row],[Date]])</f>
        <v>4</v>
      </c>
      <c r="C85" s="3" t="s">
        <v>0</v>
      </c>
      <c r="D85" t="s">
        <v>47</v>
      </c>
      <c r="E85" t="s">
        <v>49</v>
      </c>
      <c r="F85">
        <v>84</v>
      </c>
      <c r="G85">
        <v>80</v>
      </c>
      <c r="H85">
        <v>2500</v>
      </c>
      <c r="I85">
        <v>20</v>
      </c>
      <c r="J85" s="3" t="str">
        <f>_xlfn.CONCAT("Definition of id ",FirstLane[[#This Row],[ProductId]])</f>
        <v>Definition of id 84</v>
      </c>
    </row>
    <row r="86" spans="1:10">
      <c r="A86" s="5">
        <v>45020</v>
      </c>
      <c r="B86">
        <f>MONTH(FirstLane[[#This Row],[Date]])</f>
        <v>4</v>
      </c>
      <c r="C86" s="3" t="s">
        <v>0</v>
      </c>
      <c r="D86" t="s">
        <v>47</v>
      </c>
      <c r="E86" t="s">
        <v>49</v>
      </c>
      <c r="F86">
        <v>85</v>
      </c>
      <c r="G86">
        <v>80</v>
      </c>
      <c r="H86">
        <v>2500</v>
      </c>
      <c r="I86">
        <v>20</v>
      </c>
      <c r="J86" s="3" t="str">
        <f>_xlfn.CONCAT("Definition of id ",FirstLane[[#This Row],[ProductId]])</f>
        <v>Definition of id 85</v>
      </c>
    </row>
    <row r="87" spans="1:10">
      <c r="A87" s="5">
        <v>45020</v>
      </c>
      <c r="B87">
        <f>MONTH(FirstLane[[#This Row],[Date]])</f>
        <v>4</v>
      </c>
      <c r="C87" s="3" t="s">
        <v>0</v>
      </c>
      <c r="D87" t="s">
        <v>47</v>
      </c>
      <c r="E87" t="s">
        <v>49</v>
      </c>
      <c r="F87">
        <v>86</v>
      </c>
      <c r="G87">
        <v>80</v>
      </c>
      <c r="H87">
        <v>2500</v>
      </c>
      <c r="I87">
        <v>20</v>
      </c>
      <c r="J87" s="3" t="str">
        <f>_xlfn.CONCAT("Definition of id ",FirstLane[[#This Row],[ProductId]])</f>
        <v>Definition of id 86</v>
      </c>
    </row>
    <row r="88" spans="1:10">
      <c r="A88" s="5">
        <v>45022</v>
      </c>
      <c r="B88">
        <f>MONTH(FirstLane[[#This Row],[Date]])</f>
        <v>4</v>
      </c>
      <c r="C88" s="3" t="s">
        <v>1</v>
      </c>
      <c r="D88" t="s">
        <v>47</v>
      </c>
      <c r="E88" t="s">
        <v>49</v>
      </c>
      <c r="F88">
        <v>87</v>
      </c>
      <c r="G88">
        <v>60</v>
      </c>
      <c r="H88">
        <v>5000</v>
      </c>
      <c r="I88">
        <v>30</v>
      </c>
      <c r="J88" s="3" t="str">
        <f>_xlfn.CONCAT("Definition of id ",FirstLane[[#This Row],[ProductId]])</f>
        <v>Definition of id 87</v>
      </c>
    </row>
    <row r="89" spans="1:10">
      <c r="A89" s="5">
        <v>45022</v>
      </c>
      <c r="B89">
        <f>MONTH(FirstLane[[#This Row],[Date]])</f>
        <v>4</v>
      </c>
      <c r="C89" s="3" t="s">
        <v>1</v>
      </c>
      <c r="D89" t="s">
        <v>47</v>
      </c>
      <c r="E89" t="s">
        <v>49</v>
      </c>
      <c r="F89">
        <v>88</v>
      </c>
      <c r="G89">
        <v>60</v>
      </c>
      <c r="H89">
        <v>5000</v>
      </c>
      <c r="I89">
        <v>30</v>
      </c>
      <c r="J89" s="3" t="str">
        <f>_xlfn.CONCAT("Definition of id ",FirstLane[[#This Row],[ProductId]])</f>
        <v>Definition of id 88</v>
      </c>
    </row>
    <row r="90" spans="1:10">
      <c r="A90" s="5">
        <v>45024</v>
      </c>
      <c r="B90">
        <f>MONTH(FirstLane[[#This Row],[Date]])</f>
        <v>4</v>
      </c>
      <c r="C90" s="3" t="s">
        <v>1</v>
      </c>
      <c r="D90" t="s">
        <v>47</v>
      </c>
      <c r="E90" t="s">
        <v>49</v>
      </c>
      <c r="F90">
        <v>89</v>
      </c>
      <c r="G90">
        <v>80</v>
      </c>
      <c r="H90">
        <v>2500</v>
      </c>
      <c r="I90">
        <v>20</v>
      </c>
      <c r="J90" s="3" t="str">
        <f>_xlfn.CONCAT("Definition of id ",FirstLane[[#This Row],[ProductId]])</f>
        <v>Definition of id 89</v>
      </c>
    </row>
    <row r="91" spans="1:10">
      <c r="A91" s="5">
        <v>45024</v>
      </c>
      <c r="B91">
        <f>MONTH(FirstLane[[#This Row],[Date]])</f>
        <v>4</v>
      </c>
      <c r="C91" s="3" t="s">
        <v>1</v>
      </c>
      <c r="D91" t="s">
        <v>46</v>
      </c>
      <c r="E91" t="s">
        <v>50</v>
      </c>
      <c r="F91">
        <v>90</v>
      </c>
      <c r="G91">
        <v>80</v>
      </c>
      <c r="H91">
        <v>2500</v>
      </c>
      <c r="I91">
        <v>20</v>
      </c>
      <c r="J91" s="3" t="str">
        <f>_xlfn.CONCAT("Definition of id ",FirstLane[[#This Row],[ProductId]])</f>
        <v>Definition of id 90</v>
      </c>
    </row>
    <row r="92" spans="1:10">
      <c r="A92" s="5">
        <v>45026</v>
      </c>
      <c r="B92">
        <f>MONTH(FirstLane[[#This Row],[Date]])</f>
        <v>4</v>
      </c>
      <c r="C92" s="3" t="s">
        <v>1</v>
      </c>
      <c r="D92" t="s">
        <v>46</v>
      </c>
      <c r="E92" t="s">
        <v>50</v>
      </c>
      <c r="F92">
        <v>91</v>
      </c>
      <c r="G92">
        <v>80</v>
      </c>
      <c r="H92">
        <v>2500</v>
      </c>
      <c r="I92">
        <v>20</v>
      </c>
      <c r="J92" s="3" t="str">
        <f>_xlfn.CONCAT("Definition of id ",FirstLane[[#This Row],[ProductId]])</f>
        <v>Definition of id 91</v>
      </c>
    </row>
    <row r="93" spans="1:10">
      <c r="A93" s="5">
        <v>45026</v>
      </c>
      <c r="B93">
        <f>MONTH(FirstLane[[#This Row],[Date]])</f>
        <v>4</v>
      </c>
      <c r="C93" s="3" t="s">
        <v>1</v>
      </c>
      <c r="D93" t="s">
        <v>46</v>
      </c>
      <c r="E93" t="s">
        <v>50</v>
      </c>
      <c r="F93">
        <v>92</v>
      </c>
      <c r="G93">
        <v>80</v>
      </c>
      <c r="H93">
        <v>2500</v>
      </c>
      <c r="I93">
        <v>20</v>
      </c>
      <c r="J93" s="3" t="str">
        <f>_xlfn.CONCAT("Definition of id ",FirstLane[[#This Row],[ProductId]])</f>
        <v>Definition of id 92</v>
      </c>
    </row>
    <row r="94" spans="1:10">
      <c r="A94" s="5">
        <v>45028</v>
      </c>
      <c r="B94">
        <f>MONTH(FirstLane[[#This Row],[Date]])</f>
        <v>4</v>
      </c>
      <c r="C94" s="3" t="s">
        <v>1</v>
      </c>
      <c r="D94" t="s">
        <v>46</v>
      </c>
      <c r="E94" t="s">
        <v>50</v>
      </c>
      <c r="F94">
        <v>93</v>
      </c>
      <c r="G94">
        <v>60</v>
      </c>
      <c r="H94">
        <v>5000</v>
      </c>
      <c r="I94">
        <v>30</v>
      </c>
      <c r="J94" s="3" t="str">
        <f>_xlfn.CONCAT("Definition of id ",FirstLane[[#This Row],[ProductId]])</f>
        <v>Definition of id 93</v>
      </c>
    </row>
    <row r="95" spans="1:10">
      <c r="A95" s="5">
        <v>45028</v>
      </c>
      <c r="B95">
        <f>MONTH(FirstLane[[#This Row],[Date]])</f>
        <v>4</v>
      </c>
      <c r="C95" s="3" t="s">
        <v>1</v>
      </c>
      <c r="D95" t="s">
        <v>46</v>
      </c>
      <c r="E95" t="s">
        <v>50</v>
      </c>
      <c r="F95">
        <v>94</v>
      </c>
      <c r="G95">
        <v>60</v>
      </c>
      <c r="H95">
        <v>5000</v>
      </c>
      <c r="I95">
        <v>30</v>
      </c>
      <c r="J95" s="3" t="str">
        <f>_xlfn.CONCAT("Definition of id ",FirstLane[[#This Row],[ProductId]])</f>
        <v>Definition of id 94</v>
      </c>
    </row>
    <row r="96" spans="1:10">
      <c r="A96" s="5">
        <v>45030</v>
      </c>
      <c r="B96">
        <f>MONTH(FirstLane[[#This Row],[Date]])</f>
        <v>4</v>
      </c>
      <c r="C96" s="3" t="s">
        <v>1</v>
      </c>
      <c r="D96" t="s">
        <v>46</v>
      </c>
      <c r="E96" t="s">
        <v>50</v>
      </c>
      <c r="F96">
        <v>95</v>
      </c>
      <c r="G96">
        <v>60</v>
      </c>
      <c r="H96">
        <v>5000</v>
      </c>
      <c r="I96">
        <v>30</v>
      </c>
      <c r="J96" s="3" t="str">
        <f>_xlfn.CONCAT("Definition of id ",FirstLane[[#This Row],[ProductId]])</f>
        <v>Definition of id 95</v>
      </c>
    </row>
    <row r="97" spans="1:10">
      <c r="A97" s="5">
        <v>45030</v>
      </c>
      <c r="B97">
        <f>MONTH(FirstLane[[#This Row],[Date]])</f>
        <v>4</v>
      </c>
      <c r="C97" s="3" t="s">
        <v>0</v>
      </c>
      <c r="D97" t="s">
        <v>46</v>
      </c>
      <c r="E97" t="s">
        <v>50</v>
      </c>
      <c r="F97">
        <v>96</v>
      </c>
      <c r="G97">
        <v>80</v>
      </c>
      <c r="H97">
        <v>2500</v>
      </c>
      <c r="I97">
        <v>20</v>
      </c>
      <c r="J97" s="3" t="str">
        <f>_xlfn.CONCAT("Definition of id ",FirstLane[[#This Row],[ProductId]])</f>
        <v>Definition of id 96</v>
      </c>
    </row>
    <row r="98" spans="1:10">
      <c r="A98" s="5">
        <v>45032</v>
      </c>
      <c r="B98">
        <f>MONTH(FirstLane[[#This Row],[Date]])</f>
        <v>4</v>
      </c>
      <c r="C98" s="3" t="s">
        <v>0</v>
      </c>
      <c r="D98" t="s">
        <v>47</v>
      </c>
      <c r="E98" t="s">
        <v>49</v>
      </c>
      <c r="F98">
        <v>97</v>
      </c>
      <c r="G98">
        <v>80</v>
      </c>
      <c r="H98">
        <v>2500</v>
      </c>
      <c r="I98">
        <v>20</v>
      </c>
      <c r="J98" s="3" t="str">
        <f>_xlfn.CONCAT("Definition of id ",FirstLane[[#This Row],[ProductId]])</f>
        <v>Definition of id 97</v>
      </c>
    </row>
    <row r="99" spans="1:10">
      <c r="A99" s="5">
        <v>45032</v>
      </c>
      <c r="B99">
        <f>MONTH(FirstLane[[#This Row],[Date]])</f>
        <v>4</v>
      </c>
      <c r="C99" s="3" t="s">
        <v>0</v>
      </c>
      <c r="D99" t="s">
        <v>47</v>
      </c>
      <c r="E99" t="s">
        <v>49</v>
      </c>
      <c r="F99">
        <v>98</v>
      </c>
      <c r="G99">
        <v>80</v>
      </c>
      <c r="H99">
        <v>2500</v>
      </c>
      <c r="I99">
        <v>20</v>
      </c>
      <c r="J99" s="3" t="str">
        <f>_xlfn.CONCAT("Definition of id ",FirstLane[[#This Row],[ProductId]])</f>
        <v>Definition of id 98</v>
      </c>
    </row>
    <row r="100" spans="1:10">
      <c r="A100" s="5">
        <v>45034</v>
      </c>
      <c r="B100">
        <f>MONTH(FirstLane[[#This Row],[Date]])</f>
        <v>4</v>
      </c>
      <c r="C100" s="3" t="s">
        <v>0</v>
      </c>
      <c r="D100" t="s">
        <v>47</v>
      </c>
      <c r="E100" t="s">
        <v>49</v>
      </c>
      <c r="F100">
        <v>99</v>
      </c>
      <c r="G100">
        <v>80</v>
      </c>
      <c r="H100">
        <v>2500</v>
      </c>
      <c r="I100">
        <v>20</v>
      </c>
      <c r="J100" s="3" t="str">
        <f>_xlfn.CONCAT("Definition of id ",FirstLane[[#This Row],[ProductId]])</f>
        <v>Definition of id 99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2C6F5-A094-4F9B-9577-6D71FC471FE5}">
  <sheetPr codeName="Arkusz3"/>
  <dimension ref="A1:J252"/>
  <sheetViews>
    <sheetView topLeftCell="A244" workbookViewId="0">
      <selection activeCell="A248" sqref="A248"/>
    </sheetView>
  </sheetViews>
  <sheetFormatPr defaultRowHeight="15"/>
  <cols>
    <col min="1" max="1" width="9.85546875" style="2" bestFit="1" customWidth="1"/>
    <col min="2" max="2" width="11.7109375" bestFit="1" customWidth="1"/>
    <col min="3" max="3" width="11.42578125" bestFit="1" customWidth="1"/>
    <col min="4" max="4" width="10.7109375" bestFit="1" customWidth="1"/>
    <col min="5" max="5" width="25.140625" customWidth="1"/>
    <col min="6" max="6" width="12.42578125" bestFit="1" customWidth="1"/>
    <col min="7" max="7" width="12.140625" bestFit="1" customWidth="1"/>
    <col min="8" max="8" width="13.5703125" bestFit="1" customWidth="1"/>
    <col min="9" max="9" width="15.140625" bestFit="1" customWidth="1"/>
    <col min="10" max="10" width="34.85546875" bestFit="1" customWidth="1"/>
    <col min="11" max="18" width="14.42578125" bestFit="1" customWidth="1"/>
    <col min="19" max="19" width="6.7109375" bestFit="1" customWidth="1"/>
    <col min="20" max="20" width="13.28515625" bestFit="1" customWidth="1"/>
    <col min="21" max="21" width="13.7109375" bestFit="1" customWidth="1"/>
  </cols>
  <sheetData>
    <row r="1" spans="1:10" s="1" customFormat="1">
      <c r="A1" s="4" t="s">
        <v>53</v>
      </c>
      <c r="B1" s="1" t="s">
        <v>52</v>
      </c>
      <c r="C1" s="1" t="s">
        <v>51</v>
      </c>
      <c r="D1" s="1" t="s">
        <v>44</v>
      </c>
      <c r="E1" s="1" t="s">
        <v>43</v>
      </c>
      <c r="F1" s="1" t="s">
        <v>42</v>
      </c>
      <c r="G1" s="1" t="s">
        <v>38</v>
      </c>
      <c r="H1" s="1" t="s">
        <v>39</v>
      </c>
      <c r="I1" s="1" t="s">
        <v>40</v>
      </c>
      <c r="J1" s="1" t="s">
        <v>41</v>
      </c>
    </row>
    <row r="2" spans="1:10">
      <c r="A2" s="5">
        <v>44936</v>
      </c>
      <c r="B2">
        <f>MONTH(SecondLine[[#This Row],[Date]])</f>
        <v>1</v>
      </c>
      <c r="C2" s="3" t="s">
        <v>0</v>
      </c>
      <c r="D2" s="3" t="s">
        <v>45</v>
      </c>
      <c r="E2" s="3" t="s">
        <v>48</v>
      </c>
      <c r="F2">
        <v>100</v>
      </c>
      <c r="G2">
        <v>4</v>
      </c>
      <c r="H2">
        <v>500</v>
      </c>
      <c r="I2">
        <v>300</v>
      </c>
      <c r="J2" s="3" t="str">
        <f>_xlfn.CONCAT("Definition of id ",SecondLine[[#This Row],[ProductId]])</f>
        <v>Definition of id 100</v>
      </c>
    </row>
    <row r="3" spans="1:10">
      <c r="A3" s="5">
        <v>44936</v>
      </c>
      <c r="B3">
        <f>MONTH(SecondLine[[#This Row],[Date]])</f>
        <v>1</v>
      </c>
      <c r="C3" s="3" t="s">
        <v>1</v>
      </c>
      <c r="D3" s="3" t="s">
        <v>45</v>
      </c>
      <c r="E3" s="3" t="s">
        <v>48</v>
      </c>
      <c r="F3">
        <v>101</v>
      </c>
      <c r="G3">
        <v>4</v>
      </c>
      <c r="H3">
        <v>500</v>
      </c>
      <c r="I3">
        <v>300</v>
      </c>
      <c r="J3" s="3" t="str">
        <f>_xlfn.CONCAT("Definition of id ",SecondLine[[#This Row],[ProductId]])</f>
        <v>Definition of id 101</v>
      </c>
    </row>
    <row r="4" spans="1:10">
      <c r="A4" s="5">
        <v>44936</v>
      </c>
      <c r="B4">
        <f>MONTH(SecondLine[[#This Row],[Date]])</f>
        <v>1</v>
      </c>
      <c r="C4" s="3" t="s">
        <v>3</v>
      </c>
      <c r="D4" s="3" t="s">
        <v>45</v>
      </c>
      <c r="E4" s="3" t="s">
        <v>48</v>
      </c>
      <c r="F4">
        <v>102</v>
      </c>
      <c r="G4">
        <v>4</v>
      </c>
      <c r="H4">
        <v>500</v>
      </c>
      <c r="I4">
        <v>300</v>
      </c>
      <c r="J4" s="3" t="str">
        <f>_xlfn.CONCAT("Definition of id ",SecondLine[[#This Row],[ProductId]])</f>
        <v>Definition of id 102</v>
      </c>
    </row>
    <row r="5" spans="1:10">
      <c r="A5" s="5">
        <v>44936</v>
      </c>
      <c r="B5">
        <f>MONTH(SecondLine[[#This Row],[Date]])</f>
        <v>1</v>
      </c>
      <c r="C5" s="3" t="s">
        <v>0</v>
      </c>
      <c r="D5" s="3" t="s">
        <v>45</v>
      </c>
      <c r="E5" s="3" t="s">
        <v>48</v>
      </c>
      <c r="F5">
        <v>103</v>
      </c>
      <c r="G5">
        <v>4</v>
      </c>
      <c r="H5">
        <v>500</v>
      </c>
      <c r="I5">
        <v>300</v>
      </c>
      <c r="J5" s="3" t="str">
        <f>_xlfn.CONCAT("Definition of id ",SecondLine[[#This Row],[ProductId]])</f>
        <v>Definition of id 103</v>
      </c>
    </row>
    <row r="6" spans="1:10">
      <c r="A6" s="5">
        <v>44938</v>
      </c>
      <c r="B6">
        <f>MONTH(SecondLine[[#This Row],[Date]])</f>
        <v>1</v>
      </c>
      <c r="C6" s="3" t="s">
        <v>1</v>
      </c>
      <c r="D6" s="3" t="s">
        <v>45</v>
      </c>
      <c r="E6" s="3" t="s">
        <v>48</v>
      </c>
      <c r="F6">
        <v>104</v>
      </c>
      <c r="G6">
        <v>4</v>
      </c>
      <c r="H6">
        <v>500</v>
      </c>
      <c r="I6">
        <v>300</v>
      </c>
      <c r="J6" s="3" t="str">
        <f>_xlfn.CONCAT("Definition of id ",SecondLine[[#This Row],[ProductId]])</f>
        <v>Definition of id 104</v>
      </c>
    </row>
    <row r="7" spans="1:10">
      <c r="A7" s="5">
        <v>44938</v>
      </c>
      <c r="B7">
        <f>MONTH(SecondLine[[#This Row],[Date]])</f>
        <v>1</v>
      </c>
      <c r="C7" s="3" t="s">
        <v>3</v>
      </c>
      <c r="D7" s="3" t="s">
        <v>45</v>
      </c>
      <c r="E7" s="3" t="s">
        <v>48</v>
      </c>
      <c r="F7">
        <v>105</v>
      </c>
      <c r="G7">
        <v>4</v>
      </c>
      <c r="H7">
        <v>500</v>
      </c>
      <c r="I7">
        <v>300</v>
      </c>
      <c r="J7" s="3" t="str">
        <f>_xlfn.CONCAT("Definition of id ",SecondLine[[#This Row],[ProductId]])</f>
        <v>Definition of id 105</v>
      </c>
    </row>
    <row r="8" spans="1:10">
      <c r="A8" s="5">
        <v>44938</v>
      </c>
      <c r="B8">
        <f>MONTH(SecondLine[[#This Row],[Date]])</f>
        <v>1</v>
      </c>
      <c r="C8" s="3" t="s">
        <v>0</v>
      </c>
      <c r="D8" s="3" t="s">
        <v>45</v>
      </c>
      <c r="E8" s="3" t="s">
        <v>48</v>
      </c>
      <c r="F8">
        <v>106</v>
      </c>
      <c r="G8">
        <v>4</v>
      </c>
      <c r="H8">
        <v>500</v>
      </c>
      <c r="I8">
        <v>300</v>
      </c>
      <c r="J8" s="3" t="str">
        <f>_xlfn.CONCAT("Definition of id ",SecondLine[[#This Row],[ProductId]])</f>
        <v>Definition of id 106</v>
      </c>
    </row>
    <row r="9" spans="1:10">
      <c r="A9" s="5">
        <v>44938</v>
      </c>
      <c r="B9">
        <f>MONTH(SecondLine[[#This Row],[Date]])</f>
        <v>1</v>
      </c>
      <c r="C9" s="3" t="s">
        <v>1</v>
      </c>
      <c r="D9" s="3" t="s">
        <v>45</v>
      </c>
      <c r="E9" s="3" t="s">
        <v>48</v>
      </c>
      <c r="F9">
        <v>107</v>
      </c>
      <c r="G9">
        <v>4</v>
      </c>
      <c r="H9">
        <v>500</v>
      </c>
      <c r="I9">
        <v>300</v>
      </c>
      <c r="J9" s="3" t="str">
        <f>_xlfn.CONCAT("Definition of id ",SecondLine[[#This Row],[ProductId]])</f>
        <v>Definition of id 107</v>
      </c>
    </row>
    <row r="10" spans="1:10">
      <c r="A10" s="5">
        <v>44940</v>
      </c>
      <c r="B10">
        <f>MONTH(SecondLine[[#This Row],[Date]])</f>
        <v>1</v>
      </c>
      <c r="C10" s="3" t="s">
        <v>3</v>
      </c>
      <c r="D10" s="3" t="s">
        <v>45</v>
      </c>
      <c r="E10" s="3" t="s">
        <v>48</v>
      </c>
      <c r="F10">
        <v>108</v>
      </c>
      <c r="G10">
        <v>4</v>
      </c>
      <c r="H10">
        <v>500</v>
      </c>
      <c r="I10">
        <v>300</v>
      </c>
      <c r="J10" s="3" t="str">
        <f>_xlfn.CONCAT("Definition of id ",SecondLine[[#This Row],[ProductId]])</f>
        <v>Definition of id 108</v>
      </c>
    </row>
    <row r="11" spans="1:10">
      <c r="A11" s="5">
        <v>44940</v>
      </c>
      <c r="B11">
        <f>MONTH(SecondLine[[#This Row],[Date]])</f>
        <v>1</v>
      </c>
      <c r="C11" s="3" t="s">
        <v>0</v>
      </c>
      <c r="D11" s="3" t="s">
        <v>45</v>
      </c>
      <c r="E11" s="3" t="s">
        <v>48</v>
      </c>
      <c r="F11">
        <v>109</v>
      </c>
      <c r="G11">
        <v>4</v>
      </c>
      <c r="H11">
        <v>500</v>
      </c>
      <c r="I11">
        <v>300</v>
      </c>
      <c r="J11" s="3" t="str">
        <f>_xlfn.CONCAT("Definition of id ",SecondLine[[#This Row],[ProductId]])</f>
        <v>Definition of id 109</v>
      </c>
    </row>
    <row r="12" spans="1:10">
      <c r="A12" s="5">
        <v>44940</v>
      </c>
      <c r="B12">
        <f>MONTH(SecondLine[[#This Row],[Date]])</f>
        <v>1</v>
      </c>
      <c r="C12" s="3" t="s">
        <v>1</v>
      </c>
      <c r="D12" s="3" t="s">
        <v>45</v>
      </c>
      <c r="E12" s="3" t="s">
        <v>48</v>
      </c>
      <c r="F12">
        <v>110</v>
      </c>
      <c r="G12">
        <v>4</v>
      </c>
      <c r="H12">
        <v>500</v>
      </c>
      <c r="I12">
        <v>300</v>
      </c>
      <c r="J12" s="3" t="str">
        <f>_xlfn.CONCAT("Definition of id ",SecondLine[[#This Row],[ProductId]])</f>
        <v>Definition of id 110</v>
      </c>
    </row>
    <row r="13" spans="1:10">
      <c r="A13" s="5">
        <v>44940</v>
      </c>
      <c r="B13">
        <f>MONTH(SecondLine[[#This Row],[Date]])</f>
        <v>1</v>
      </c>
      <c r="C13" s="3" t="s">
        <v>3</v>
      </c>
      <c r="D13" s="3" t="s">
        <v>45</v>
      </c>
      <c r="E13" s="3" t="s">
        <v>48</v>
      </c>
      <c r="F13">
        <v>111</v>
      </c>
      <c r="G13">
        <v>4</v>
      </c>
      <c r="H13">
        <v>500</v>
      </c>
      <c r="I13">
        <v>300</v>
      </c>
      <c r="J13" s="3" t="str">
        <f>_xlfn.CONCAT("Definition of id ",SecondLine[[#This Row],[ProductId]])</f>
        <v>Definition of id 111</v>
      </c>
    </row>
    <row r="14" spans="1:10">
      <c r="A14" s="5">
        <v>44942</v>
      </c>
      <c r="B14">
        <f>MONTH(SecondLine[[#This Row],[Date]])</f>
        <v>1</v>
      </c>
      <c r="C14" s="3" t="s">
        <v>0</v>
      </c>
      <c r="D14" s="3" t="s">
        <v>47</v>
      </c>
      <c r="E14" s="3" t="s">
        <v>49</v>
      </c>
      <c r="F14">
        <v>112</v>
      </c>
      <c r="G14">
        <v>4</v>
      </c>
      <c r="H14">
        <v>500</v>
      </c>
      <c r="I14">
        <v>300</v>
      </c>
      <c r="J14" s="3" t="str">
        <f>_xlfn.CONCAT("Definition of id ",SecondLine[[#This Row],[ProductId]])</f>
        <v>Definition of id 112</v>
      </c>
    </row>
    <row r="15" spans="1:10">
      <c r="A15" s="5">
        <v>44942</v>
      </c>
      <c r="B15">
        <f>MONTH(SecondLine[[#This Row],[Date]])</f>
        <v>1</v>
      </c>
      <c r="C15" s="3" t="s">
        <v>0</v>
      </c>
      <c r="D15" s="3" t="s">
        <v>47</v>
      </c>
      <c r="E15" s="3" t="s">
        <v>49</v>
      </c>
      <c r="F15">
        <v>113</v>
      </c>
      <c r="G15">
        <v>4</v>
      </c>
      <c r="H15">
        <v>500</v>
      </c>
      <c r="I15">
        <v>300</v>
      </c>
      <c r="J15" s="3" t="str">
        <f>_xlfn.CONCAT("Definition of id ",SecondLine[[#This Row],[ProductId]])</f>
        <v>Definition of id 113</v>
      </c>
    </row>
    <row r="16" spans="1:10">
      <c r="A16" s="5">
        <v>44942</v>
      </c>
      <c r="B16">
        <f>MONTH(SecondLine[[#This Row],[Date]])</f>
        <v>1</v>
      </c>
      <c r="C16" s="3" t="s">
        <v>1</v>
      </c>
      <c r="D16" s="3" t="s">
        <v>47</v>
      </c>
      <c r="E16" s="3" t="s">
        <v>49</v>
      </c>
      <c r="F16">
        <v>114</v>
      </c>
      <c r="G16">
        <v>20</v>
      </c>
      <c r="H16" s="3">
        <v>1000</v>
      </c>
      <c r="I16" s="3">
        <v>2500</v>
      </c>
      <c r="J16" s="3" t="str">
        <f>_xlfn.CONCAT("Definition of id ",SecondLine[[#This Row],[ProductId]])</f>
        <v>Definition of id 114</v>
      </c>
    </row>
    <row r="17" spans="1:10">
      <c r="A17" s="5">
        <v>44942</v>
      </c>
      <c r="B17">
        <f>MONTH(SecondLine[[#This Row],[Date]])</f>
        <v>1</v>
      </c>
      <c r="C17" s="3" t="s">
        <v>1</v>
      </c>
      <c r="D17" s="3" t="s">
        <v>47</v>
      </c>
      <c r="E17" s="3" t="s">
        <v>49</v>
      </c>
      <c r="F17">
        <v>115</v>
      </c>
      <c r="G17">
        <v>20</v>
      </c>
      <c r="H17" s="3">
        <v>1000</v>
      </c>
      <c r="I17" s="3">
        <v>2500</v>
      </c>
      <c r="J17" s="3" t="str">
        <f>_xlfn.CONCAT("Definition of id ",SecondLine[[#This Row],[ProductId]])</f>
        <v>Definition of id 115</v>
      </c>
    </row>
    <row r="18" spans="1:10">
      <c r="A18" s="5">
        <v>44944</v>
      </c>
      <c r="B18">
        <f>MONTH(SecondLine[[#This Row],[Date]])</f>
        <v>1</v>
      </c>
      <c r="C18" s="3" t="s">
        <v>3</v>
      </c>
      <c r="D18" s="3" t="s">
        <v>47</v>
      </c>
      <c r="E18" s="3" t="s">
        <v>49</v>
      </c>
      <c r="F18">
        <v>116</v>
      </c>
      <c r="G18">
        <v>20</v>
      </c>
      <c r="H18" s="3">
        <v>1000</v>
      </c>
      <c r="I18" s="3">
        <v>2500</v>
      </c>
      <c r="J18" s="3" t="str">
        <f>_xlfn.CONCAT("Definition of id ",SecondLine[[#This Row],[ProductId]])</f>
        <v>Definition of id 116</v>
      </c>
    </row>
    <row r="19" spans="1:10">
      <c r="A19" s="5">
        <v>44944</v>
      </c>
      <c r="B19">
        <f>MONTH(SecondLine[[#This Row],[Date]])</f>
        <v>1</v>
      </c>
      <c r="C19" s="3" t="s">
        <v>3</v>
      </c>
      <c r="D19" s="3" t="s">
        <v>47</v>
      </c>
      <c r="E19" s="3" t="s">
        <v>49</v>
      </c>
      <c r="F19">
        <v>117</v>
      </c>
      <c r="G19">
        <v>20</v>
      </c>
      <c r="H19" s="3">
        <v>1000</v>
      </c>
      <c r="I19" s="3">
        <v>2500</v>
      </c>
      <c r="J19" s="3" t="str">
        <f>_xlfn.CONCAT("Definition of id ",SecondLine[[#This Row],[ProductId]])</f>
        <v>Definition of id 117</v>
      </c>
    </row>
    <row r="20" spans="1:10">
      <c r="A20" s="5">
        <v>44944</v>
      </c>
      <c r="B20">
        <f>MONTH(SecondLine[[#This Row],[Date]])</f>
        <v>1</v>
      </c>
      <c r="C20" s="3" t="s">
        <v>0</v>
      </c>
      <c r="D20" s="3" t="s">
        <v>47</v>
      </c>
      <c r="E20" s="3" t="s">
        <v>49</v>
      </c>
      <c r="F20">
        <v>118</v>
      </c>
      <c r="G20">
        <v>20</v>
      </c>
      <c r="H20" s="3">
        <v>1000</v>
      </c>
      <c r="I20" s="3">
        <v>2500</v>
      </c>
      <c r="J20" s="3" t="str">
        <f>_xlfn.CONCAT("Definition of id ",SecondLine[[#This Row],[ProductId]])</f>
        <v>Definition of id 118</v>
      </c>
    </row>
    <row r="21" spans="1:10">
      <c r="A21" s="5">
        <v>44944</v>
      </c>
      <c r="B21">
        <f>MONTH(SecondLine[[#This Row],[Date]])</f>
        <v>1</v>
      </c>
      <c r="C21" s="3" t="s">
        <v>1</v>
      </c>
      <c r="D21" s="3" t="s">
        <v>47</v>
      </c>
      <c r="E21" s="3" t="s">
        <v>49</v>
      </c>
      <c r="F21">
        <v>119</v>
      </c>
      <c r="G21">
        <v>20</v>
      </c>
      <c r="H21" s="3">
        <v>1000</v>
      </c>
      <c r="I21" s="3">
        <v>2500</v>
      </c>
      <c r="J21" s="3" t="str">
        <f>_xlfn.CONCAT("Definition of id ",SecondLine[[#This Row],[ProductId]])</f>
        <v>Definition of id 119</v>
      </c>
    </row>
    <row r="22" spans="1:10">
      <c r="A22" s="5">
        <v>44946</v>
      </c>
      <c r="B22">
        <f>MONTH(SecondLine[[#This Row],[Date]])</f>
        <v>1</v>
      </c>
      <c r="C22" s="3" t="s">
        <v>3</v>
      </c>
      <c r="D22" s="3" t="s">
        <v>47</v>
      </c>
      <c r="E22" s="3" t="s">
        <v>49</v>
      </c>
      <c r="F22">
        <v>120</v>
      </c>
      <c r="G22">
        <v>20</v>
      </c>
      <c r="H22" s="3">
        <v>1000</v>
      </c>
      <c r="I22" s="3">
        <v>2500</v>
      </c>
      <c r="J22" s="3" t="str">
        <f>_xlfn.CONCAT("Definition of id ",SecondLine[[#This Row],[ProductId]])</f>
        <v>Definition of id 120</v>
      </c>
    </row>
    <row r="23" spans="1:10">
      <c r="A23" s="5">
        <v>44946</v>
      </c>
      <c r="B23">
        <f>MONTH(SecondLine[[#This Row],[Date]])</f>
        <v>1</v>
      </c>
      <c r="C23" s="3" t="s">
        <v>0</v>
      </c>
      <c r="D23" s="3" t="s">
        <v>47</v>
      </c>
      <c r="E23" s="3" t="s">
        <v>49</v>
      </c>
      <c r="F23">
        <v>121</v>
      </c>
      <c r="G23">
        <v>20</v>
      </c>
      <c r="H23" s="3">
        <v>1000</v>
      </c>
      <c r="I23" s="3">
        <v>2500</v>
      </c>
      <c r="J23" s="3" t="str">
        <f>_xlfn.CONCAT("Definition of id ",SecondLine[[#This Row],[ProductId]])</f>
        <v>Definition of id 121</v>
      </c>
    </row>
    <row r="24" spans="1:10">
      <c r="A24" s="5">
        <v>44946</v>
      </c>
      <c r="B24">
        <f>MONTH(SecondLine[[#This Row],[Date]])</f>
        <v>1</v>
      </c>
      <c r="C24" s="3" t="s">
        <v>1</v>
      </c>
      <c r="D24" s="3" t="s">
        <v>47</v>
      </c>
      <c r="E24" s="3" t="s">
        <v>49</v>
      </c>
      <c r="F24">
        <v>122</v>
      </c>
      <c r="G24">
        <v>20</v>
      </c>
      <c r="H24" s="3">
        <v>1000</v>
      </c>
      <c r="I24" s="3">
        <v>2500</v>
      </c>
      <c r="J24" s="3" t="str">
        <f>_xlfn.CONCAT("Definition of id ",SecondLine[[#This Row],[ProductId]])</f>
        <v>Definition of id 122</v>
      </c>
    </row>
    <row r="25" spans="1:10">
      <c r="A25" s="5">
        <v>44946</v>
      </c>
      <c r="B25">
        <f>MONTH(SecondLine[[#This Row],[Date]])</f>
        <v>1</v>
      </c>
      <c r="C25" s="3" t="s">
        <v>3</v>
      </c>
      <c r="D25" s="3" t="s">
        <v>47</v>
      </c>
      <c r="E25" s="3" t="s">
        <v>49</v>
      </c>
      <c r="F25">
        <v>123</v>
      </c>
      <c r="G25">
        <v>20</v>
      </c>
      <c r="H25" s="3">
        <v>1000</v>
      </c>
      <c r="I25" s="3">
        <v>2500</v>
      </c>
      <c r="J25" s="3" t="str">
        <f>_xlfn.CONCAT("Definition of id ",SecondLine[[#This Row],[ProductId]])</f>
        <v>Definition of id 123</v>
      </c>
    </row>
    <row r="26" spans="1:10">
      <c r="A26" s="5">
        <v>44948</v>
      </c>
      <c r="B26">
        <f>MONTH(SecondLine[[#This Row],[Date]])</f>
        <v>1</v>
      </c>
      <c r="C26" s="3" t="s">
        <v>0</v>
      </c>
      <c r="D26" s="3" t="s">
        <v>47</v>
      </c>
      <c r="E26" s="3" t="s">
        <v>49</v>
      </c>
      <c r="F26">
        <v>124</v>
      </c>
      <c r="G26">
        <v>20</v>
      </c>
      <c r="H26" s="3">
        <v>1000</v>
      </c>
      <c r="I26" s="3">
        <v>2500</v>
      </c>
      <c r="J26" s="3" t="str">
        <f>_xlfn.CONCAT("Definition of id ",SecondLine[[#This Row],[ProductId]])</f>
        <v>Definition of id 124</v>
      </c>
    </row>
    <row r="27" spans="1:10">
      <c r="A27" s="5">
        <v>44948</v>
      </c>
      <c r="B27">
        <f>MONTH(SecondLine[[#This Row],[Date]])</f>
        <v>1</v>
      </c>
      <c r="C27" s="3" t="s">
        <v>1</v>
      </c>
      <c r="D27" s="3" t="s">
        <v>46</v>
      </c>
      <c r="E27" s="3" t="s">
        <v>50</v>
      </c>
      <c r="F27">
        <v>125</v>
      </c>
      <c r="G27">
        <v>20</v>
      </c>
      <c r="H27" s="3">
        <v>1000</v>
      </c>
      <c r="I27" s="3">
        <v>2500</v>
      </c>
      <c r="J27" s="3" t="str">
        <f>_xlfn.CONCAT("Definition of id ",SecondLine[[#This Row],[ProductId]])</f>
        <v>Definition of id 125</v>
      </c>
    </row>
    <row r="28" spans="1:10">
      <c r="A28" s="5">
        <v>44948</v>
      </c>
      <c r="B28">
        <f>MONTH(SecondLine[[#This Row],[Date]])</f>
        <v>1</v>
      </c>
      <c r="C28" s="3" t="s">
        <v>3</v>
      </c>
      <c r="D28" s="3" t="s">
        <v>46</v>
      </c>
      <c r="E28" s="3" t="s">
        <v>50</v>
      </c>
      <c r="F28">
        <v>126</v>
      </c>
      <c r="G28">
        <v>20</v>
      </c>
      <c r="H28" s="3">
        <v>1000</v>
      </c>
      <c r="I28" s="3">
        <v>2500</v>
      </c>
      <c r="J28" s="3" t="str">
        <f>_xlfn.CONCAT("Definition of id ",SecondLine[[#This Row],[ProductId]])</f>
        <v>Definition of id 126</v>
      </c>
    </row>
    <row r="29" spans="1:10">
      <c r="A29" s="5">
        <v>44948</v>
      </c>
      <c r="B29">
        <f>MONTH(SecondLine[[#This Row],[Date]])</f>
        <v>1</v>
      </c>
      <c r="C29" s="3" t="s">
        <v>0</v>
      </c>
      <c r="D29" s="3" t="s">
        <v>46</v>
      </c>
      <c r="E29" s="3" t="s">
        <v>50</v>
      </c>
      <c r="F29">
        <v>127</v>
      </c>
      <c r="G29">
        <v>20</v>
      </c>
      <c r="H29" s="3">
        <v>1000</v>
      </c>
      <c r="I29" s="3">
        <v>2500</v>
      </c>
      <c r="J29" s="3" t="str">
        <f>_xlfn.CONCAT("Definition of id ",SecondLine[[#This Row],[ProductId]])</f>
        <v>Definition of id 127</v>
      </c>
    </row>
    <row r="30" spans="1:10">
      <c r="A30" s="5">
        <v>44950</v>
      </c>
      <c r="B30">
        <f>MONTH(SecondLine[[#This Row],[Date]])</f>
        <v>1</v>
      </c>
      <c r="C30" s="3" t="s">
        <v>1</v>
      </c>
      <c r="D30" s="3" t="s">
        <v>46</v>
      </c>
      <c r="E30" s="3" t="s">
        <v>50</v>
      </c>
      <c r="F30">
        <v>128</v>
      </c>
      <c r="G30">
        <v>20</v>
      </c>
      <c r="H30" s="3">
        <v>1000</v>
      </c>
      <c r="I30" s="3">
        <v>2500</v>
      </c>
      <c r="J30" s="3" t="str">
        <f>_xlfn.CONCAT("Definition of id ",SecondLine[[#This Row],[ProductId]])</f>
        <v>Definition of id 128</v>
      </c>
    </row>
    <row r="31" spans="1:10">
      <c r="A31" s="5">
        <v>44950</v>
      </c>
      <c r="B31">
        <f>MONTH(SecondLine[[#This Row],[Date]])</f>
        <v>1</v>
      </c>
      <c r="C31" s="3" t="s">
        <v>3</v>
      </c>
      <c r="D31" s="3" t="s">
        <v>46</v>
      </c>
      <c r="E31" s="3" t="s">
        <v>50</v>
      </c>
      <c r="F31">
        <v>129</v>
      </c>
      <c r="G31">
        <v>20</v>
      </c>
      <c r="H31" s="3">
        <v>1000</v>
      </c>
      <c r="I31" s="3">
        <v>2500</v>
      </c>
      <c r="J31" s="3" t="str">
        <f>_xlfn.CONCAT("Definition of id ",SecondLine[[#This Row],[ProductId]])</f>
        <v>Definition of id 129</v>
      </c>
    </row>
    <row r="32" spans="1:10">
      <c r="A32" s="5">
        <v>44950</v>
      </c>
      <c r="B32">
        <f>MONTH(SecondLine[[#This Row],[Date]])</f>
        <v>1</v>
      </c>
      <c r="C32" s="3" t="s">
        <v>0</v>
      </c>
      <c r="D32" s="3" t="s">
        <v>46</v>
      </c>
      <c r="E32" s="3" t="s">
        <v>50</v>
      </c>
      <c r="F32">
        <v>130</v>
      </c>
      <c r="G32">
        <v>20</v>
      </c>
      <c r="H32" s="3">
        <v>1000</v>
      </c>
      <c r="I32" s="3">
        <v>2500</v>
      </c>
      <c r="J32" s="3" t="str">
        <f>_xlfn.CONCAT("Definition of id ",SecondLine[[#This Row],[ProductId]])</f>
        <v>Definition of id 130</v>
      </c>
    </row>
    <row r="33" spans="1:10">
      <c r="A33" s="5">
        <v>44950</v>
      </c>
      <c r="B33">
        <f>MONTH(SecondLine[[#This Row],[Date]])</f>
        <v>1</v>
      </c>
      <c r="C33" s="3" t="s">
        <v>0</v>
      </c>
      <c r="D33" s="3" t="s">
        <v>46</v>
      </c>
      <c r="E33" s="3" t="s">
        <v>50</v>
      </c>
      <c r="F33">
        <v>131</v>
      </c>
      <c r="G33">
        <v>20</v>
      </c>
      <c r="H33" s="3">
        <v>1000</v>
      </c>
      <c r="I33" s="3">
        <v>2500</v>
      </c>
      <c r="J33" s="3" t="str">
        <f>_xlfn.CONCAT("Definition of id ",SecondLine[[#This Row],[ProductId]])</f>
        <v>Definition of id 131</v>
      </c>
    </row>
    <row r="34" spans="1:10">
      <c r="A34" s="5">
        <v>44952</v>
      </c>
      <c r="B34">
        <f>MONTH(SecondLine[[#This Row],[Date]])</f>
        <v>1</v>
      </c>
      <c r="C34" s="3" t="s">
        <v>1</v>
      </c>
      <c r="D34" s="3" t="s">
        <v>46</v>
      </c>
      <c r="E34" s="3" t="s">
        <v>50</v>
      </c>
      <c r="F34">
        <v>132</v>
      </c>
      <c r="G34">
        <v>20</v>
      </c>
      <c r="H34" s="3">
        <v>1000</v>
      </c>
      <c r="I34" s="3">
        <v>2500</v>
      </c>
      <c r="J34" s="3" t="str">
        <f>_xlfn.CONCAT("Definition of id ",SecondLine[[#This Row],[ProductId]])</f>
        <v>Definition of id 132</v>
      </c>
    </row>
    <row r="35" spans="1:10">
      <c r="A35" s="5">
        <v>44952</v>
      </c>
      <c r="B35">
        <f>MONTH(SecondLine[[#This Row],[Date]])</f>
        <v>1</v>
      </c>
      <c r="C35" s="3" t="s">
        <v>1</v>
      </c>
      <c r="D35" s="3" t="s">
        <v>46</v>
      </c>
      <c r="E35" s="3" t="s">
        <v>50</v>
      </c>
      <c r="F35">
        <v>133</v>
      </c>
      <c r="G35">
        <v>20</v>
      </c>
      <c r="H35" s="3">
        <v>1000</v>
      </c>
      <c r="I35" s="3">
        <v>2500</v>
      </c>
      <c r="J35" s="3" t="str">
        <f>_xlfn.CONCAT("Definition of id ",SecondLine[[#This Row],[ProductId]])</f>
        <v>Definition of id 133</v>
      </c>
    </row>
    <row r="36" spans="1:10">
      <c r="A36" s="5">
        <v>44952</v>
      </c>
      <c r="B36">
        <f>MONTH(SecondLine[[#This Row],[Date]])</f>
        <v>1</v>
      </c>
      <c r="C36" s="3" t="s">
        <v>3</v>
      </c>
      <c r="D36" s="3" t="s">
        <v>46</v>
      </c>
      <c r="E36" s="3" t="s">
        <v>50</v>
      </c>
      <c r="F36">
        <v>134</v>
      </c>
      <c r="G36">
        <v>5</v>
      </c>
      <c r="H36" s="3">
        <v>500</v>
      </c>
      <c r="I36" s="3">
        <v>1000</v>
      </c>
      <c r="J36" s="3" t="str">
        <f>_xlfn.CONCAT("Definition of id ",SecondLine[[#This Row],[ProductId]])</f>
        <v>Definition of id 134</v>
      </c>
    </row>
    <row r="37" spans="1:10">
      <c r="A37" s="5">
        <v>44952</v>
      </c>
      <c r="B37">
        <f>MONTH(SecondLine[[#This Row],[Date]])</f>
        <v>1</v>
      </c>
      <c r="C37" s="3" t="s">
        <v>3</v>
      </c>
      <c r="D37" s="3" t="s">
        <v>46</v>
      </c>
      <c r="E37" s="3" t="s">
        <v>50</v>
      </c>
      <c r="F37">
        <v>135</v>
      </c>
      <c r="G37">
        <v>5</v>
      </c>
      <c r="H37" s="3">
        <v>500</v>
      </c>
      <c r="I37" s="3">
        <v>1000</v>
      </c>
      <c r="J37" s="3" t="str">
        <f>_xlfn.CONCAT("Definition of id ",SecondLine[[#This Row],[ProductId]])</f>
        <v>Definition of id 135</v>
      </c>
    </row>
    <row r="38" spans="1:10">
      <c r="A38" s="5">
        <v>44954</v>
      </c>
      <c r="B38">
        <f>MONTH(SecondLine[[#This Row],[Date]])</f>
        <v>1</v>
      </c>
      <c r="C38" s="3" t="s">
        <v>0</v>
      </c>
      <c r="D38" s="3" t="s">
        <v>46</v>
      </c>
      <c r="E38" s="3" t="s">
        <v>50</v>
      </c>
      <c r="F38">
        <v>136</v>
      </c>
      <c r="G38">
        <v>5</v>
      </c>
      <c r="H38" s="3">
        <v>500</v>
      </c>
      <c r="I38" s="3">
        <v>1000</v>
      </c>
      <c r="J38" s="3" t="str">
        <f>_xlfn.CONCAT("Definition of id ",SecondLine[[#This Row],[ProductId]])</f>
        <v>Definition of id 136</v>
      </c>
    </row>
    <row r="39" spans="1:10">
      <c r="A39" s="5">
        <v>44954</v>
      </c>
      <c r="B39">
        <f>MONTH(SecondLine[[#This Row],[Date]])</f>
        <v>1</v>
      </c>
      <c r="C39" s="3" t="s">
        <v>1</v>
      </c>
      <c r="D39" s="3" t="s">
        <v>46</v>
      </c>
      <c r="E39" s="3" t="s">
        <v>50</v>
      </c>
      <c r="F39">
        <v>137</v>
      </c>
      <c r="G39">
        <v>5</v>
      </c>
      <c r="H39" s="3">
        <v>500</v>
      </c>
      <c r="I39" s="3">
        <v>1000</v>
      </c>
      <c r="J39" s="3" t="str">
        <f>_xlfn.CONCAT("Definition of id ",SecondLine[[#This Row],[ProductId]])</f>
        <v>Definition of id 137</v>
      </c>
    </row>
    <row r="40" spans="1:10">
      <c r="A40" s="5">
        <v>44954</v>
      </c>
      <c r="B40">
        <f>MONTH(SecondLine[[#This Row],[Date]])</f>
        <v>1</v>
      </c>
      <c r="C40" s="3" t="s">
        <v>3</v>
      </c>
      <c r="D40" s="3" t="s">
        <v>46</v>
      </c>
      <c r="E40" s="3" t="s">
        <v>50</v>
      </c>
      <c r="F40">
        <v>138</v>
      </c>
      <c r="G40">
        <v>5</v>
      </c>
      <c r="H40" s="3">
        <v>500</v>
      </c>
      <c r="I40" s="3">
        <v>1000</v>
      </c>
      <c r="J40" s="3" t="str">
        <f>_xlfn.CONCAT("Definition of id ",SecondLine[[#This Row],[ProductId]])</f>
        <v>Definition of id 138</v>
      </c>
    </row>
    <row r="41" spans="1:10">
      <c r="A41" s="5">
        <v>44954</v>
      </c>
      <c r="B41">
        <f>MONTH(SecondLine[[#This Row],[Date]])</f>
        <v>1</v>
      </c>
      <c r="C41" s="3" t="s">
        <v>0</v>
      </c>
      <c r="D41" s="3" t="s">
        <v>46</v>
      </c>
      <c r="E41" s="3" t="s">
        <v>50</v>
      </c>
      <c r="F41">
        <v>139</v>
      </c>
      <c r="G41">
        <v>5</v>
      </c>
      <c r="H41" s="3">
        <v>500</v>
      </c>
      <c r="I41" s="3">
        <v>1000</v>
      </c>
      <c r="J41" s="3" t="str">
        <f>_xlfn.CONCAT("Definition of id ",SecondLine[[#This Row],[ProductId]])</f>
        <v>Definition of id 139</v>
      </c>
    </row>
    <row r="42" spans="1:10">
      <c r="A42" s="5">
        <v>44956</v>
      </c>
      <c r="B42">
        <f>MONTH(SecondLine[[#This Row],[Date]])</f>
        <v>1</v>
      </c>
      <c r="C42" s="3" t="s">
        <v>1</v>
      </c>
      <c r="D42" s="3" t="s">
        <v>46</v>
      </c>
      <c r="E42" s="3" t="s">
        <v>50</v>
      </c>
      <c r="F42">
        <v>140</v>
      </c>
      <c r="G42">
        <v>5</v>
      </c>
      <c r="H42" s="3">
        <v>500</v>
      </c>
      <c r="I42" s="3">
        <v>1000</v>
      </c>
      <c r="J42" s="3" t="str">
        <f>_xlfn.CONCAT("Definition of id ",SecondLine[[#This Row],[ProductId]])</f>
        <v>Definition of id 140</v>
      </c>
    </row>
    <row r="43" spans="1:10">
      <c r="A43" s="5">
        <v>44956</v>
      </c>
      <c r="B43">
        <f>MONTH(SecondLine[[#This Row],[Date]])</f>
        <v>1</v>
      </c>
      <c r="C43" s="3" t="s">
        <v>3</v>
      </c>
      <c r="D43" s="3" t="s">
        <v>46</v>
      </c>
      <c r="E43" s="3" t="s">
        <v>50</v>
      </c>
      <c r="F43">
        <v>141</v>
      </c>
      <c r="G43">
        <v>5</v>
      </c>
      <c r="H43" s="3">
        <v>500</v>
      </c>
      <c r="I43" s="3">
        <v>1000</v>
      </c>
      <c r="J43" s="3" t="str">
        <f>_xlfn.CONCAT("Definition of id ",SecondLine[[#This Row],[ProductId]])</f>
        <v>Definition of id 141</v>
      </c>
    </row>
    <row r="44" spans="1:10">
      <c r="A44" s="5">
        <v>44956</v>
      </c>
      <c r="B44">
        <f>MONTH(SecondLine[[#This Row],[Date]])</f>
        <v>1</v>
      </c>
      <c r="C44" s="3" t="s">
        <v>0</v>
      </c>
      <c r="D44" s="3" t="s">
        <v>46</v>
      </c>
      <c r="E44" s="3" t="s">
        <v>50</v>
      </c>
      <c r="F44">
        <v>142</v>
      </c>
      <c r="G44">
        <v>5</v>
      </c>
      <c r="H44" s="3">
        <v>500</v>
      </c>
      <c r="I44" s="3">
        <v>1000</v>
      </c>
      <c r="J44" s="3" t="str">
        <f>_xlfn.CONCAT("Definition of id ",SecondLine[[#This Row],[ProductId]])</f>
        <v>Definition of id 142</v>
      </c>
    </row>
    <row r="45" spans="1:10">
      <c r="A45" s="5">
        <v>44956</v>
      </c>
      <c r="B45">
        <f>MONTH(SecondLine[[#This Row],[Date]])</f>
        <v>1</v>
      </c>
      <c r="C45" s="3" t="s">
        <v>1</v>
      </c>
      <c r="D45" s="3" t="s">
        <v>46</v>
      </c>
      <c r="E45" s="3" t="s">
        <v>50</v>
      </c>
      <c r="F45">
        <v>143</v>
      </c>
      <c r="G45">
        <v>5</v>
      </c>
      <c r="H45" s="3">
        <v>500</v>
      </c>
      <c r="I45" s="3">
        <v>1000</v>
      </c>
      <c r="J45" s="3" t="str">
        <f>_xlfn.CONCAT("Definition of id ",SecondLine[[#This Row],[ProductId]])</f>
        <v>Definition of id 143</v>
      </c>
    </row>
    <row r="46" spans="1:10">
      <c r="A46" s="5">
        <v>44958</v>
      </c>
      <c r="B46">
        <f>MONTH(SecondLine[[#This Row],[Date]])</f>
        <v>2</v>
      </c>
      <c r="C46" s="3" t="s">
        <v>3</v>
      </c>
      <c r="D46" s="3" t="s">
        <v>46</v>
      </c>
      <c r="E46" s="3" t="s">
        <v>50</v>
      </c>
      <c r="F46">
        <v>144</v>
      </c>
      <c r="G46">
        <v>5</v>
      </c>
      <c r="H46" s="3">
        <v>500</v>
      </c>
      <c r="I46" s="3">
        <v>1000</v>
      </c>
      <c r="J46" s="3" t="str">
        <f>_xlfn.CONCAT("Definition of id ",SecondLine[[#This Row],[ProductId]])</f>
        <v>Definition of id 144</v>
      </c>
    </row>
    <row r="47" spans="1:10">
      <c r="A47" s="5">
        <v>44958</v>
      </c>
      <c r="B47">
        <f>MONTH(SecondLine[[#This Row],[Date]])</f>
        <v>2</v>
      </c>
      <c r="C47" s="3" t="s">
        <v>0</v>
      </c>
      <c r="D47" s="3" t="s">
        <v>46</v>
      </c>
      <c r="E47" s="3" t="s">
        <v>50</v>
      </c>
      <c r="F47">
        <v>145</v>
      </c>
      <c r="G47">
        <v>5</v>
      </c>
      <c r="H47" s="3">
        <v>500</v>
      </c>
      <c r="I47" s="3">
        <v>1000</v>
      </c>
      <c r="J47" s="3" t="str">
        <f>_xlfn.CONCAT("Definition of id ",SecondLine[[#This Row],[ProductId]])</f>
        <v>Definition of id 145</v>
      </c>
    </row>
    <row r="48" spans="1:10">
      <c r="A48" s="5">
        <v>44958</v>
      </c>
      <c r="B48">
        <f>MONTH(SecondLine[[#This Row],[Date]])</f>
        <v>2</v>
      </c>
      <c r="C48" s="3" t="s">
        <v>1</v>
      </c>
      <c r="D48" s="3" t="s">
        <v>45</v>
      </c>
      <c r="E48" s="3" t="s">
        <v>48</v>
      </c>
      <c r="F48">
        <v>146</v>
      </c>
      <c r="G48">
        <v>5</v>
      </c>
      <c r="H48" s="3">
        <v>500</v>
      </c>
      <c r="I48" s="3">
        <v>1000</v>
      </c>
      <c r="J48" s="3" t="str">
        <f>_xlfn.CONCAT("Definition of id ",SecondLine[[#This Row],[ProductId]])</f>
        <v>Definition of id 146</v>
      </c>
    </row>
    <row r="49" spans="1:10">
      <c r="A49" s="5">
        <v>44958</v>
      </c>
      <c r="B49">
        <f>MONTH(SecondLine[[#This Row],[Date]])</f>
        <v>2</v>
      </c>
      <c r="C49" s="3" t="s">
        <v>3</v>
      </c>
      <c r="D49" s="3" t="s">
        <v>45</v>
      </c>
      <c r="E49" s="3" t="s">
        <v>48</v>
      </c>
      <c r="F49">
        <v>147</v>
      </c>
      <c r="G49">
        <v>30</v>
      </c>
      <c r="H49" s="3">
        <v>1000</v>
      </c>
      <c r="I49" s="3">
        <v>200</v>
      </c>
      <c r="J49" s="3" t="str">
        <f>_xlfn.CONCAT("Definition of id ",SecondLine[[#This Row],[ProductId]])</f>
        <v>Definition of id 147</v>
      </c>
    </row>
    <row r="50" spans="1:10">
      <c r="A50" s="5">
        <v>44960</v>
      </c>
      <c r="B50">
        <f>MONTH(SecondLine[[#This Row],[Date]])</f>
        <v>2</v>
      </c>
      <c r="C50" s="3" t="s">
        <v>0</v>
      </c>
      <c r="D50" s="3" t="s">
        <v>45</v>
      </c>
      <c r="E50" s="3" t="s">
        <v>48</v>
      </c>
      <c r="F50">
        <v>148</v>
      </c>
      <c r="G50">
        <v>30</v>
      </c>
      <c r="H50" s="3">
        <v>1000</v>
      </c>
      <c r="I50" s="3">
        <v>200</v>
      </c>
      <c r="J50" s="3" t="str">
        <f>_xlfn.CONCAT("Definition of id ",SecondLine[[#This Row],[ProductId]])</f>
        <v>Definition of id 148</v>
      </c>
    </row>
    <row r="51" spans="1:10">
      <c r="A51" s="5">
        <v>44960</v>
      </c>
      <c r="B51">
        <f>MONTH(SecondLine[[#This Row],[Date]])</f>
        <v>2</v>
      </c>
      <c r="C51" s="3" t="s">
        <v>0</v>
      </c>
      <c r="D51" s="3" t="s">
        <v>45</v>
      </c>
      <c r="E51" s="3" t="s">
        <v>48</v>
      </c>
      <c r="F51">
        <v>149</v>
      </c>
      <c r="G51">
        <v>30</v>
      </c>
      <c r="H51" s="3">
        <v>1000</v>
      </c>
      <c r="I51" s="3">
        <v>200</v>
      </c>
      <c r="J51" s="3" t="str">
        <f>_xlfn.CONCAT("Definition of id ",SecondLine[[#This Row],[ProductId]])</f>
        <v>Definition of id 149</v>
      </c>
    </row>
    <row r="52" spans="1:10">
      <c r="A52" s="5">
        <v>44960</v>
      </c>
      <c r="B52">
        <f>MONTH(SecondLine[[#This Row],[Date]])</f>
        <v>2</v>
      </c>
      <c r="C52" s="3" t="s">
        <v>1</v>
      </c>
      <c r="D52" s="3" t="s">
        <v>45</v>
      </c>
      <c r="E52" s="3" t="s">
        <v>48</v>
      </c>
      <c r="F52">
        <v>150</v>
      </c>
      <c r="G52">
        <v>30</v>
      </c>
      <c r="H52" s="3">
        <v>1000</v>
      </c>
      <c r="I52" s="3">
        <v>200</v>
      </c>
      <c r="J52" s="3" t="str">
        <f>_xlfn.CONCAT("Definition of id ",SecondLine[[#This Row],[ProductId]])</f>
        <v>Definition of id 150</v>
      </c>
    </row>
    <row r="53" spans="1:10">
      <c r="A53" s="5">
        <v>44960</v>
      </c>
      <c r="B53">
        <f>MONTH(SecondLine[[#This Row],[Date]])</f>
        <v>2</v>
      </c>
      <c r="C53" s="3" t="s">
        <v>1</v>
      </c>
      <c r="D53" s="3" t="s">
        <v>45</v>
      </c>
      <c r="E53" s="3" t="s">
        <v>48</v>
      </c>
      <c r="F53">
        <v>151</v>
      </c>
      <c r="G53">
        <v>30</v>
      </c>
      <c r="H53" s="3">
        <v>1000</v>
      </c>
      <c r="I53" s="3">
        <v>200</v>
      </c>
      <c r="J53" s="3" t="str">
        <f>_xlfn.CONCAT("Definition of id ",SecondLine[[#This Row],[ProductId]])</f>
        <v>Definition of id 151</v>
      </c>
    </row>
    <row r="54" spans="1:10">
      <c r="A54" s="5">
        <v>44962</v>
      </c>
      <c r="B54">
        <f>MONTH(SecondLine[[#This Row],[Date]])</f>
        <v>2</v>
      </c>
      <c r="C54" s="3" t="s">
        <v>3</v>
      </c>
      <c r="D54" s="3" t="s">
        <v>45</v>
      </c>
      <c r="E54" s="3" t="s">
        <v>48</v>
      </c>
      <c r="F54">
        <v>152</v>
      </c>
      <c r="G54">
        <v>30</v>
      </c>
      <c r="H54" s="3">
        <v>1000</v>
      </c>
      <c r="I54" s="3">
        <v>200</v>
      </c>
      <c r="J54" s="3" t="str">
        <f>_xlfn.CONCAT("Definition of id ",SecondLine[[#This Row],[ProductId]])</f>
        <v>Definition of id 152</v>
      </c>
    </row>
    <row r="55" spans="1:10">
      <c r="A55" s="5">
        <v>44962</v>
      </c>
      <c r="B55">
        <f>MONTH(SecondLine[[#This Row],[Date]])</f>
        <v>2</v>
      </c>
      <c r="C55" s="3" t="s">
        <v>3</v>
      </c>
      <c r="D55" s="3" t="s">
        <v>45</v>
      </c>
      <c r="E55" s="3" t="s">
        <v>48</v>
      </c>
      <c r="F55">
        <v>153</v>
      </c>
      <c r="G55">
        <v>30</v>
      </c>
      <c r="H55" s="3">
        <v>1000</v>
      </c>
      <c r="I55" s="3">
        <v>200</v>
      </c>
      <c r="J55" s="3" t="str">
        <f>_xlfn.CONCAT("Definition of id ",SecondLine[[#This Row],[ProductId]])</f>
        <v>Definition of id 153</v>
      </c>
    </row>
    <row r="56" spans="1:10">
      <c r="A56" s="5">
        <v>44962</v>
      </c>
      <c r="B56">
        <f>MONTH(SecondLine[[#This Row],[Date]])</f>
        <v>2</v>
      </c>
      <c r="C56" s="3" t="s">
        <v>0</v>
      </c>
      <c r="D56" s="3" t="s">
        <v>47</v>
      </c>
      <c r="E56" s="3" t="s">
        <v>49</v>
      </c>
      <c r="F56">
        <v>154</v>
      </c>
      <c r="G56">
        <v>30</v>
      </c>
      <c r="H56" s="3">
        <v>1000</v>
      </c>
      <c r="I56" s="3">
        <v>200</v>
      </c>
      <c r="J56" s="3" t="str">
        <f>_xlfn.CONCAT("Definition of id ",SecondLine[[#This Row],[ProductId]])</f>
        <v>Definition of id 154</v>
      </c>
    </row>
    <row r="57" spans="1:10">
      <c r="A57" s="5">
        <v>44962</v>
      </c>
      <c r="B57">
        <f>MONTH(SecondLine[[#This Row],[Date]])</f>
        <v>2</v>
      </c>
      <c r="C57" s="3" t="s">
        <v>1</v>
      </c>
      <c r="D57" s="3" t="s">
        <v>47</v>
      </c>
      <c r="E57" s="3" t="s">
        <v>49</v>
      </c>
      <c r="F57">
        <v>155</v>
      </c>
      <c r="G57">
        <v>20</v>
      </c>
      <c r="H57" s="3">
        <v>1000</v>
      </c>
      <c r="I57" s="3">
        <v>2500</v>
      </c>
      <c r="J57" s="3" t="str">
        <f>_xlfn.CONCAT("Definition of id ",SecondLine[[#This Row],[ProductId]])</f>
        <v>Definition of id 155</v>
      </c>
    </row>
    <row r="58" spans="1:10">
      <c r="A58" s="5">
        <v>44964</v>
      </c>
      <c r="B58">
        <f>MONTH(SecondLine[[#This Row],[Date]])</f>
        <v>2</v>
      </c>
      <c r="C58" s="3" t="s">
        <v>3</v>
      </c>
      <c r="D58" s="3" t="s">
        <v>47</v>
      </c>
      <c r="E58" s="3" t="s">
        <v>49</v>
      </c>
      <c r="F58">
        <v>156</v>
      </c>
      <c r="G58">
        <v>20</v>
      </c>
      <c r="H58" s="3">
        <v>1000</v>
      </c>
      <c r="I58" s="3">
        <v>2500</v>
      </c>
      <c r="J58" s="3" t="str">
        <f>_xlfn.CONCAT("Definition of id ",SecondLine[[#This Row],[ProductId]])</f>
        <v>Definition of id 156</v>
      </c>
    </row>
    <row r="59" spans="1:10">
      <c r="A59" s="5">
        <v>44964</v>
      </c>
      <c r="B59">
        <f>MONTH(SecondLine[[#This Row],[Date]])</f>
        <v>2</v>
      </c>
      <c r="C59" s="3" t="s">
        <v>0</v>
      </c>
      <c r="D59" s="3" t="s">
        <v>47</v>
      </c>
      <c r="E59" s="3" t="s">
        <v>49</v>
      </c>
      <c r="F59">
        <v>157</v>
      </c>
      <c r="G59">
        <v>20</v>
      </c>
      <c r="H59" s="3">
        <v>1000</v>
      </c>
      <c r="I59" s="3">
        <v>2500</v>
      </c>
      <c r="J59" s="3" t="str">
        <f>_xlfn.CONCAT("Definition of id ",SecondLine[[#This Row],[ProductId]])</f>
        <v>Definition of id 157</v>
      </c>
    </row>
    <row r="60" spans="1:10">
      <c r="A60" s="5">
        <v>44964</v>
      </c>
      <c r="B60">
        <f>MONTH(SecondLine[[#This Row],[Date]])</f>
        <v>2</v>
      </c>
      <c r="C60" s="3" t="s">
        <v>1</v>
      </c>
      <c r="D60" s="3" t="s">
        <v>47</v>
      </c>
      <c r="E60" s="3" t="s">
        <v>49</v>
      </c>
      <c r="F60">
        <v>158</v>
      </c>
      <c r="G60">
        <v>20</v>
      </c>
      <c r="H60" s="3">
        <v>1000</v>
      </c>
      <c r="I60" s="3">
        <v>2500</v>
      </c>
      <c r="J60" s="3" t="str">
        <f>_xlfn.CONCAT("Definition of id ",SecondLine[[#This Row],[ProductId]])</f>
        <v>Definition of id 158</v>
      </c>
    </row>
    <row r="61" spans="1:10">
      <c r="A61" s="5">
        <v>44964</v>
      </c>
      <c r="B61">
        <f>MONTH(SecondLine[[#This Row],[Date]])</f>
        <v>2</v>
      </c>
      <c r="C61" s="3" t="s">
        <v>3</v>
      </c>
      <c r="D61" s="3" t="s">
        <v>47</v>
      </c>
      <c r="E61" s="3" t="s">
        <v>49</v>
      </c>
      <c r="F61">
        <v>159</v>
      </c>
      <c r="G61">
        <v>5</v>
      </c>
      <c r="H61" s="3">
        <v>500</v>
      </c>
      <c r="I61" s="3">
        <v>1000</v>
      </c>
      <c r="J61" s="3" t="str">
        <f>_xlfn.CONCAT("Definition of id ",SecondLine[[#This Row],[ProductId]])</f>
        <v>Definition of id 159</v>
      </c>
    </row>
    <row r="62" spans="1:10">
      <c r="A62" s="5">
        <v>44966</v>
      </c>
      <c r="B62">
        <f>MONTH(SecondLine[[#This Row],[Date]])</f>
        <v>2</v>
      </c>
      <c r="C62" s="3" t="s">
        <v>0</v>
      </c>
      <c r="D62" s="3" t="s">
        <v>47</v>
      </c>
      <c r="E62" s="3" t="s">
        <v>49</v>
      </c>
      <c r="F62">
        <v>160</v>
      </c>
      <c r="G62">
        <v>5</v>
      </c>
      <c r="H62" s="3">
        <v>500</v>
      </c>
      <c r="I62" s="3">
        <v>1000</v>
      </c>
      <c r="J62" s="3" t="str">
        <f>_xlfn.CONCAT("Definition of id ",SecondLine[[#This Row],[ProductId]])</f>
        <v>Definition of id 160</v>
      </c>
    </row>
    <row r="63" spans="1:10">
      <c r="A63" s="5">
        <v>44966</v>
      </c>
      <c r="B63">
        <f>MONTH(SecondLine[[#This Row],[Date]])</f>
        <v>2</v>
      </c>
      <c r="C63" s="3" t="s">
        <v>1</v>
      </c>
      <c r="D63" s="3" t="s">
        <v>47</v>
      </c>
      <c r="E63" s="3" t="s">
        <v>49</v>
      </c>
      <c r="F63">
        <v>161</v>
      </c>
      <c r="G63">
        <v>5</v>
      </c>
      <c r="H63" s="3">
        <v>500</v>
      </c>
      <c r="I63" s="3">
        <v>1000</v>
      </c>
      <c r="J63" s="3" t="str">
        <f>_xlfn.CONCAT("Definition of id ",SecondLine[[#This Row],[ProductId]])</f>
        <v>Definition of id 161</v>
      </c>
    </row>
    <row r="64" spans="1:10">
      <c r="A64" s="5">
        <v>44966</v>
      </c>
      <c r="B64">
        <f>MONTH(SecondLine[[#This Row],[Date]])</f>
        <v>2</v>
      </c>
      <c r="C64" s="3" t="s">
        <v>3</v>
      </c>
      <c r="D64" s="3" t="s">
        <v>47</v>
      </c>
      <c r="E64" s="3" t="s">
        <v>49</v>
      </c>
      <c r="F64">
        <v>162</v>
      </c>
      <c r="G64">
        <v>5</v>
      </c>
      <c r="H64" s="3">
        <v>500</v>
      </c>
      <c r="I64" s="3">
        <v>1000</v>
      </c>
      <c r="J64" s="3" t="str">
        <f>_xlfn.CONCAT("Definition of id ",SecondLine[[#This Row],[ProductId]])</f>
        <v>Definition of id 162</v>
      </c>
    </row>
    <row r="65" spans="1:10">
      <c r="A65" s="5">
        <v>44966</v>
      </c>
      <c r="B65">
        <f>MONTH(SecondLine[[#This Row],[Date]])</f>
        <v>2</v>
      </c>
      <c r="C65" s="3" t="s">
        <v>0</v>
      </c>
      <c r="D65" s="3" t="s">
        <v>47</v>
      </c>
      <c r="E65" s="3" t="s">
        <v>49</v>
      </c>
      <c r="F65">
        <v>163</v>
      </c>
      <c r="G65">
        <v>30</v>
      </c>
      <c r="H65" s="3">
        <v>1000</v>
      </c>
      <c r="I65" s="3">
        <v>200</v>
      </c>
      <c r="J65" s="3" t="str">
        <f>_xlfn.CONCAT("Definition of id ",SecondLine[[#This Row],[ProductId]])</f>
        <v>Definition of id 163</v>
      </c>
    </row>
    <row r="66" spans="1:10">
      <c r="A66" s="5">
        <v>44968</v>
      </c>
      <c r="B66">
        <f>MONTH(SecondLine[[#This Row],[Date]])</f>
        <v>2</v>
      </c>
      <c r="C66" s="3" t="s">
        <v>1</v>
      </c>
      <c r="D66" s="3" t="s">
        <v>47</v>
      </c>
      <c r="E66" s="3" t="s">
        <v>49</v>
      </c>
      <c r="F66">
        <v>164</v>
      </c>
      <c r="G66">
        <v>30</v>
      </c>
      <c r="H66" s="3">
        <v>1000</v>
      </c>
      <c r="I66" s="3">
        <v>200</v>
      </c>
      <c r="J66" s="3" t="str">
        <f>_xlfn.CONCAT("Definition of id ",SecondLine[[#This Row],[ProductId]])</f>
        <v>Definition of id 164</v>
      </c>
    </row>
    <row r="67" spans="1:10">
      <c r="A67" s="5">
        <v>44968</v>
      </c>
      <c r="B67">
        <f>MONTH(SecondLine[[#This Row],[Date]])</f>
        <v>2</v>
      </c>
      <c r="C67" s="3" t="s">
        <v>3</v>
      </c>
      <c r="D67" s="3" t="s">
        <v>45</v>
      </c>
      <c r="E67" s="3" t="s">
        <v>48</v>
      </c>
      <c r="F67">
        <v>165</v>
      </c>
      <c r="G67">
        <v>30</v>
      </c>
      <c r="H67" s="3">
        <v>1000</v>
      </c>
      <c r="I67" s="3">
        <v>200</v>
      </c>
      <c r="J67" s="3" t="str">
        <f>_xlfn.CONCAT("Definition of id ",SecondLine[[#This Row],[ProductId]])</f>
        <v>Definition of id 165</v>
      </c>
    </row>
    <row r="68" spans="1:10">
      <c r="A68" s="5">
        <v>44968</v>
      </c>
      <c r="B68">
        <f>MONTH(SecondLine[[#This Row],[Date]])</f>
        <v>2</v>
      </c>
      <c r="C68" s="3" t="s">
        <v>0</v>
      </c>
      <c r="D68" s="3" t="s">
        <v>45</v>
      </c>
      <c r="E68" s="3" t="s">
        <v>48</v>
      </c>
      <c r="F68">
        <v>166</v>
      </c>
      <c r="G68">
        <v>30</v>
      </c>
      <c r="H68" s="3">
        <v>1000</v>
      </c>
      <c r="I68" s="3">
        <v>200</v>
      </c>
      <c r="J68" s="3" t="str">
        <f>_xlfn.CONCAT("Definition of id ",SecondLine[[#This Row],[ProductId]])</f>
        <v>Definition of id 166</v>
      </c>
    </row>
    <row r="69" spans="1:10">
      <c r="A69" s="5">
        <v>44968</v>
      </c>
      <c r="B69">
        <f>MONTH(SecondLine[[#This Row],[Date]])</f>
        <v>2</v>
      </c>
      <c r="C69" s="3" t="s">
        <v>0</v>
      </c>
      <c r="D69" s="3" t="s">
        <v>45</v>
      </c>
      <c r="E69" s="3" t="s">
        <v>48</v>
      </c>
      <c r="F69">
        <v>167</v>
      </c>
      <c r="G69">
        <v>30</v>
      </c>
      <c r="H69" s="3">
        <v>1000</v>
      </c>
      <c r="I69" s="3">
        <v>200</v>
      </c>
      <c r="J69" s="3" t="str">
        <f>_xlfn.CONCAT("Definition of id ",SecondLine[[#This Row],[ProductId]])</f>
        <v>Definition of id 167</v>
      </c>
    </row>
    <row r="70" spans="1:10">
      <c r="A70" s="5">
        <v>44970</v>
      </c>
      <c r="B70">
        <f>MONTH(SecondLine[[#This Row],[Date]])</f>
        <v>2</v>
      </c>
      <c r="C70" s="3" t="s">
        <v>1</v>
      </c>
      <c r="D70" s="3" t="s">
        <v>45</v>
      </c>
      <c r="E70" s="3" t="s">
        <v>48</v>
      </c>
      <c r="F70">
        <v>168</v>
      </c>
      <c r="G70">
        <v>30</v>
      </c>
      <c r="H70" s="3">
        <v>1000</v>
      </c>
      <c r="I70" s="3">
        <v>200</v>
      </c>
      <c r="J70" s="3" t="str">
        <f>_xlfn.CONCAT("Definition of id ",SecondLine[[#This Row],[ProductId]])</f>
        <v>Definition of id 168</v>
      </c>
    </row>
    <row r="71" spans="1:10">
      <c r="A71" s="5">
        <v>44970</v>
      </c>
      <c r="B71">
        <f>MONTH(SecondLine[[#This Row],[Date]])</f>
        <v>2</v>
      </c>
      <c r="C71" s="3" t="s">
        <v>1</v>
      </c>
      <c r="D71" s="3" t="s">
        <v>45</v>
      </c>
      <c r="E71" s="3" t="s">
        <v>48</v>
      </c>
      <c r="F71">
        <v>169</v>
      </c>
      <c r="G71">
        <v>30</v>
      </c>
      <c r="H71" s="3">
        <v>1000</v>
      </c>
      <c r="I71" s="3">
        <v>200</v>
      </c>
      <c r="J71" s="3" t="str">
        <f>_xlfn.CONCAT("Definition of id ",SecondLine[[#This Row],[ProductId]])</f>
        <v>Definition of id 169</v>
      </c>
    </row>
    <row r="72" spans="1:10">
      <c r="A72" s="5">
        <v>44970</v>
      </c>
      <c r="B72">
        <f>MONTH(SecondLine[[#This Row],[Date]])</f>
        <v>2</v>
      </c>
      <c r="C72" s="3" t="s">
        <v>3</v>
      </c>
      <c r="D72" s="3" t="s">
        <v>45</v>
      </c>
      <c r="E72" s="3" t="s">
        <v>48</v>
      </c>
      <c r="F72">
        <v>170</v>
      </c>
      <c r="G72">
        <v>30</v>
      </c>
      <c r="H72" s="3">
        <v>1000</v>
      </c>
      <c r="I72" s="3">
        <v>200</v>
      </c>
      <c r="J72" s="3" t="str">
        <f>_xlfn.CONCAT("Definition of id ",SecondLine[[#This Row],[ProductId]])</f>
        <v>Definition of id 170</v>
      </c>
    </row>
    <row r="73" spans="1:10">
      <c r="A73" s="5">
        <v>44970</v>
      </c>
      <c r="B73">
        <f>MONTH(SecondLine[[#This Row],[Date]])</f>
        <v>2</v>
      </c>
      <c r="C73" s="3" t="s">
        <v>3</v>
      </c>
      <c r="D73" s="3" t="s">
        <v>45</v>
      </c>
      <c r="E73" s="3" t="s">
        <v>48</v>
      </c>
      <c r="F73">
        <v>171</v>
      </c>
      <c r="G73">
        <v>30</v>
      </c>
      <c r="H73" s="3">
        <v>1000</v>
      </c>
      <c r="I73" s="3">
        <v>200</v>
      </c>
      <c r="J73" s="3" t="str">
        <f>_xlfn.CONCAT("Definition of id ",SecondLine[[#This Row],[ProductId]])</f>
        <v>Definition of id 171</v>
      </c>
    </row>
    <row r="74" spans="1:10">
      <c r="A74" s="5">
        <v>44972</v>
      </c>
      <c r="B74">
        <f>MONTH(SecondLine[[#This Row],[Date]])</f>
        <v>2</v>
      </c>
      <c r="C74" s="3" t="s">
        <v>0</v>
      </c>
      <c r="D74" s="3" t="s">
        <v>45</v>
      </c>
      <c r="E74" s="3" t="s">
        <v>48</v>
      </c>
      <c r="F74">
        <v>172</v>
      </c>
      <c r="G74">
        <v>30</v>
      </c>
      <c r="H74" s="3">
        <v>1000</v>
      </c>
      <c r="I74" s="3">
        <v>200</v>
      </c>
      <c r="J74" s="3" t="str">
        <f>_xlfn.CONCAT("Definition of id ",SecondLine[[#This Row],[ProductId]])</f>
        <v>Definition of id 172</v>
      </c>
    </row>
    <row r="75" spans="1:10">
      <c r="A75" s="5">
        <v>44972</v>
      </c>
      <c r="B75">
        <f>MONTH(SecondLine[[#This Row],[Date]])</f>
        <v>2</v>
      </c>
      <c r="C75" s="3" t="s">
        <v>1</v>
      </c>
      <c r="D75" s="3" t="s">
        <v>45</v>
      </c>
      <c r="E75" s="3" t="s">
        <v>48</v>
      </c>
      <c r="F75">
        <v>173</v>
      </c>
      <c r="G75">
        <v>20</v>
      </c>
      <c r="H75" s="3">
        <v>1000</v>
      </c>
      <c r="I75" s="3">
        <v>2500</v>
      </c>
      <c r="J75" s="3" t="str">
        <f>_xlfn.CONCAT("Definition of id ",SecondLine[[#This Row],[ProductId]])</f>
        <v>Definition of id 173</v>
      </c>
    </row>
    <row r="76" spans="1:10">
      <c r="A76" s="5">
        <v>44972</v>
      </c>
      <c r="B76">
        <f>MONTH(SecondLine[[#This Row],[Date]])</f>
        <v>2</v>
      </c>
      <c r="C76" s="3" t="s">
        <v>3</v>
      </c>
      <c r="D76" s="3" t="s">
        <v>45</v>
      </c>
      <c r="E76" s="3" t="s">
        <v>48</v>
      </c>
      <c r="F76">
        <v>174</v>
      </c>
      <c r="G76">
        <v>20</v>
      </c>
      <c r="H76" s="3">
        <v>1000</v>
      </c>
      <c r="I76" s="3">
        <v>2500</v>
      </c>
      <c r="J76" s="3" t="str">
        <f>_xlfn.CONCAT("Definition of id ",SecondLine[[#This Row],[ProductId]])</f>
        <v>Definition of id 174</v>
      </c>
    </row>
    <row r="77" spans="1:10">
      <c r="A77" s="5">
        <v>44972</v>
      </c>
      <c r="B77">
        <f>MONTH(SecondLine[[#This Row],[Date]])</f>
        <v>2</v>
      </c>
      <c r="C77" s="3" t="s">
        <v>0</v>
      </c>
      <c r="D77" s="3" t="s">
        <v>45</v>
      </c>
      <c r="E77" s="3" t="s">
        <v>48</v>
      </c>
      <c r="F77">
        <v>175</v>
      </c>
      <c r="G77">
        <v>20</v>
      </c>
      <c r="H77" s="3">
        <v>1000</v>
      </c>
      <c r="I77" s="3">
        <v>2500</v>
      </c>
      <c r="J77" s="3" t="str">
        <f>_xlfn.CONCAT("Definition of id ",SecondLine[[#This Row],[ProductId]])</f>
        <v>Definition of id 175</v>
      </c>
    </row>
    <row r="78" spans="1:10">
      <c r="A78" s="5">
        <v>44974</v>
      </c>
      <c r="B78">
        <f>MONTH(SecondLine[[#This Row],[Date]])</f>
        <v>2</v>
      </c>
      <c r="C78" s="3" t="s">
        <v>1</v>
      </c>
      <c r="D78" s="3" t="s">
        <v>45</v>
      </c>
      <c r="E78" s="3" t="s">
        <v>48</v>
      </c>
      <c r="F78">
        <v>176</v>
      </c>
      <c r="G78">
        <v>20</v>
      </c>
      <c r="H78" s="3">
        <v>1000</v>
      </c>
      <c r="I78" s="3">
        <v>2500</v>
      </c>
      <c r="J78" s="3" t="str">
        <f>_xlfn.CONCAT("Definition of id ",SecondLine[[#This Row],[ProductId]])</f>
        <v>Definition of id 176</v>
      </c>
    </row>
    <row r="79" spans="1:10">
      <c r="A79" s="5">
        <v>44974</v>
      </c>
      <c r="B79">
        <f>MONTH(SecondLine[[#This Row],[Date]])</f>
        <v>2</v>
      </c>
      <c r="C79" s="3" t="s">
        <v>3</v>
      </c>
      <c r="D79" s="3" t="s">
        <v>45</v>
      </c>
      <c r="E79" s="3" t="s">
        <v>48</v>
      </c>
      <c r="F79">
        <v>177</v>
      </c>
      <c r="G79">
        <v>5</v>
      </c>
      <c r="H79" s="3">
        <v>500</v>
      </c>
      <c r="I79" s="3">
        <v>1000</v>
      </c>
      <c r="J79" s="3" t="str">
        <f>_xlfn.CONCAT("Definition of id ",SecondLine[[#This Row],[ProductId]])</f>
        <v>Definition of id 177</v>
      </c>
    </row>
    <row r="80" spans="1:10">
      <c r="A80" s="5">
        <v>44974</v>
      </c>
      <c r="B80">
        <f>MONTH(SecondLine[[#This Row],[Date]])</f>
        <v>2</v>
      </c>
      <c r="C80" s="3" t="s">
        <v>0</v>
      </c>
      <c r="D80" s="3" t="s">
        <v>45</v>
      </c>
      <c r="E80" s="3" t="s">
        <v>48</v>
      </c>
      <c r="F80">
        <v>178</v>
      </c>
      <c r="G80">
        <v>5</v>
      </c>
      <c r="H80" s="3">
        <v>500</v>
      </c>
      <c r="I80" s="3">
        <v>1000</v>
      </c>
      <c r="J80" s="3" t="str">
        <f>_xlfn.CONCAT("Definition of id ",SecondLine[[#This Row],[ProductId]])</f>
        <v>Definition of id 178</v>
      </c>
    </row>
    <row r="81" spans="1:10">
      <c r="A81" s="5">
        <v>44974</v>
      </c>
      <c r="B81">
        <f>MONTH(SecondLine[[#This Row],[Date]])</f>
        <v>2</v>
      </c>
      <c r="C81" s="3" t="s">
        <v>1</v>
      </c>
      <c r="D81" s="3" t="s">
        <v>45</v>
      </c>
      <c r="E81" s="3" t="s">
        <v>48</v>
      </c>
      <c r="F81">
        <v>179</v>
      </c>
      <c r="G81">
        <v>5</v>
      </c>
      <c r="H81" s="3">
        <v>500</v>
      </c>
      <c r="I81" s="3">
        <v>1000</v>
      </c>
      <c r="J81" s="3" t="str">
        <f>_xlfn.CONCAT("Definition of id ",SecondLine[[#This Row],[ProductId]])</f>
        <v>Definition of id 179</v>
      </c>
    </row>
    <row r="82" spans="1:10">
      <c r="A82" s="5">
        <v>44976</v>
      </c>
      <c r="B82">
        <f>MONTH(SecondLine[[#This Row],[Date]])</f>
        <v>2</v>
      </c>
      <c r="C82" s="3" t="s">
        <v>3</v>
      </c>
      <c r="D82" s="3" t="s">
        <v>45</v>
      </c>
      <c r="E82" s="3" t="s">
        <v>48</v>
      </c>
      <c r="F82">
        <v>180</v>
      </c>
      <c r="G82">
        <v>5</v>
      </c>
      <c r="H82" s="3">
        <v>500</v>
      </c>
      <c r="I82" s="3">
        <v>1000</v>
      </c>
      <c r="J82" s="3" t="str">
        <f>_xlfn.CONCAT("Definition of id ",SecondLine[[#This Row],[ProductId]])</f>
        <v>Definition of id 180</v>
      </c>
    </row>
    <row r="83" spans="1:10">
      <c r="A83" s="5">
        <v>44976</v>
      </c>
      <c r="B83">
        <f>MONTH(SecondLine[[#This Row],[Date]])</f>
        <v>2</v>
      </c>
      <c r="C83" s="3" t="s">
        <v>0</v>
      </c>
      <c r="D83" s="3" t="s">
        <v>47</v>
      </c>
      <c r="E83" s="3" t="s">
        <v>49</v>
      </c>
      <c r="F83">
        <v>181</v>
      </c>
      <c r="G83">
        <v>30</v>
      </c>
      <c r="H83" s="3">
        <v>1000</v>
      </c>
      <c r="I83" s="3">
        <v>200</v>
      </c>
      <c r="J83" s="3" t="str">
        <f>_xlfn.CONCAT("Definition of id ",SecondLine[[#This Row],[ProductId]])</f>
        <v>Definition of id 181</v>
      </c>
    </row>
    <row r="84" spans="1:10">
      <c r="A84" s="5">
        <v>44976</v>
      </c>
      <c r="B84">
        <f>MONTH(SecondLine[[#This Row],[Date]])</f>
        <v>2</v>
      </c>
      <c r="C84" s="3" t="s">
        <v>1</v>
      </c>
      <c r="D84" s="3" t="s">
        <v>47</v>
      </c>
      <c r="E84" s="3" t="s">
        <v>49</v>
      </c>
      <c r="F84">
        <v>182</v>
      </c>
      <c r="G84">
        <v>30</v>
      </c>
      <c r="H84" s="3">
        <v>1000</v>
      </c>
      <c r="I84" s="3">
        <v>200</v>
      </c>
      <c r="J84" s="3" t="str">
        <f>_xlfn.CONCAT("Definition of id ",SecondLine[[#This Row],[ProductId]])</f>
        <v>Definition of id 182</v>
      </c>
    </row>
    <row r="85" spans="1:10">
      <c r="A85" s="5">
        <v>44976</v>
      </c>
      <c r="B85">
        <f>MONTH(SecondLine[[#This Row],[Date]])</f>
        <v>2</v>
      </c>
      <c r="C85" s="3" t="s">
        <v>3</v>
      </c>
      <c r="D85" s="3" t="s">
        <v>47</v>
      </c>
      <c r="E85" s="3" t="s">
        <v>49</v>
      </c>
      <c r="F85">
        <v>183</v>
      </c>
      <c r="G85">
        <v>30</v>
      </c>
      <c r="H85" s="3">
        <v>1000</v>
      </c>
      <c r="I85" s="3">
        <v>200</v>
      </c>
      <c r="J85" s="3" t="str">
        <f>_xlfn.CONCAT("Definition of id ",SecondLine[[#This Row],[ProductId]])</f>
        <v>Definition of id 183</v>
      </c>
    </row>
    <row r="86" spans="1:10">
      <c r="A86" s="5">
        <v>44978</v>
      </c>
      <c r="B86">
        <f>MONTH(SecondLine[[#This Row],[Date]])</f>
        <v>2</v>
      </c>
      <c r="C86" s="3" t="s">
        <v>0</v>
      </c>
      <c r="D86" s="3" t="s">
        <v>47</v>
      </c>
      <c r="E86" s="3" t="s">
        <v>49</v>
      </c>
      <c r="F86">
        <v>184</v>
      </c>
      <c r="G86">
        <v>30</v>
      </c>
      <c r="H86" s="3">
        <v>1000</v>
      </c>
      <c r="I86" s="3">
        <v>200</v>
      </c>
      <c r="J86" s="3" t="str">
        <f>_xlfn.CONCAT("Definition of id ",SecondLine[[#This Row],[ProductId]])</f>
        <v>Definition of id 184</v>
      </c>
    </row>
    <row r="87" spans="1:10">
      <c r="A87" s="5">
        <v>44978</v>
      </c>
      <c r="B87">
        <f>MONTH(SecondLine[[#This Row],[Date]])</f>
        <v>2</v>
      </c>
      <c r="C87" s="3" t="s">
        <v>0</v>
      </c>
      <c r="D87" s="3" t="s">
        <v>47</v>
      </c>
      <c r="E87" s="3" t="s">
        <v>49</v>
      </c>
      <c r="F87">
        <v>185</v>
      </c>
      <c r="G87">
        <v>30</v>
      </c>
      <c r="H87" s="3">
        <v>1000</v>
      </c>
      <c r="I87" s="3">
        <v>200</v>
      </c>
      <c r="J87" s="3" t="str">
        <f>_xlfn.CONCAT("Definition of id ",SecondLine[[#This Row],[ProductId]])</f>
        <v>Definition of id 185</v>
      </c>
    </row>
    <row r="88" spans="1:10">
      <c r="A88" s="5">
        <v>44978</v>
      </c>
      <c r="B88">
        <f>MONTH(SecondLine[[#This Row],[Date]])</f>
        <v>2</v>
      </c>
      <c r="C88" s="3" t="s">
        <v>1</v>
      </c>
      <c r="D88" s="3" t="s">
        <v>47</v>
      </c>
      <c r="E88" s="3" t="s">
        <v>49</v>
      </c>
      <c r="F88">
        <v>186</v>
      </c>
      <c r="G88">
        <v>30</v>
      </c>
      <c r="H88" s="3">
        <v>1000</v>
      </c>
      <c r="I88" s="3">
        <v>200</v>
      </c>
      <c r="J88" s="3" t="str">
        <f>_xlfn.CONCAT("Definition of id ",SecondLine[[#This Row],[ProductId]])</f>
        <v>Definition of id 186</v>
      </c>
    </row>
    <row r="89" spans="1:10">
      <c r="A89" s="5">
        <v>44978</v>
      </c>
      <c r="B89">
        <f>MONTH(SecondLine[[#This Row],[Date]])</f>
        <v>2</v>
      </c>
      <c r="C89" s="3" t="s">
        <v>1</v>
      </c>
      <c r="D89" s="3" t="s">
        <v>47</v>
      </c>
      <c r="E89" s="3" t="s">
        <v>49</v>
      </c>
      <c r="F89">
        <v>187</v>
      </c>
      <c r="G89">
        <v>30</v>
      </c>
      <c r="H89" s="3">
        <v>1000</v>
      </c>
      <c r="I89" s="3">
        <v>200</v>
      </c>
      <c r="J89" s="3" t="str">
        <f>_xlfn.CONCAT("Definition of id ",SecondLine[[#This Row],[ProductId]])</f>
        <v>Definition of id 187</v>
      </c>
    </row>
    <row r="90" spans="1:10">
      <c r="A90" s="5">
        <v>44980</v>
      </c>
      <c r="B90">
        <f>MONTH(SecondLine[[#This Row],[Date]])</f>
        <v>2</v>
      </c>
      <c r="C90" s="3" t="s">
        <v>3</v>
      </c>
      <c r="D90" s="3" t="s">
        <v>47</v>
      </c>
      <c r="E90" s="3" t="s">
        <v>49</v>
      </c>
      <c r="F90">
        <v>188</v>
      </c>
      <c r="G90">
        <v>30</v>
      </c>
      <c r="H90" s="3">
        <v>1000</v>
      </c>
      <c r="I90" s="3">
        <v>200</v>
      </c>
      <c r="J90" s="3" t="str">
        <f>_xlfn.CONCAT("Definition of id ",SecondLine[[#This Row],[ProductId]])</f>
        <v>Definition of id 188</v>
      </c>
    </row>
    <row r="91" spans="1:10">
      <c r="A91" s="5">
        <v>44980</v>
      </c>
      <c r="B91">
        <f>MONTH(SecondLine[[#This Row],[Date]])</f>
        <v>2</v>
      </c>
      <c r="C91" s="3" t="s">
        <v>3</v>
      </c>
      <c r="D91" s="3" t="s">
        <v>46</v>
      </c>
      <c r="E91" s="3" t="s">
        <v>50</v>
      </c>
      <c r="F91">
        <v>189</v>
      </c>
      <c r="G91">
        <v>30</v>
      </c>
      <c r="H91" s="3">
        <v>1000</v>
      </c>
      <c r="I91" s="3">
        <v>200</v>
      </c>
      <c r="J91" s="3" t="str">
        <f>_xlfn.CONCAT("Definition of id ",SecondLine[[#This Row],[ProductId]])</f>
        <v>Definition of id 189</v>
      </c>
    </row>
    <row r="92" spans="1:10">
      <c r="A92" s="5">
        <v>44980</v>
      </c>
      <c r="B92">
        <f>MONTH(SecondLine[[#This Row],[Date]])</f>
        <v>2</v>
      </c>
      <c r="C92" s="3" t="s">
        <v>0</v>
      </c>
      <c r="D92" s="3" t="s">
        <v>46</v>
      </c>
      <c r="E92" s="3" t="s">
        <v>50</v>
      </c>
      <c r="F92">
        <v>190</v>
      </c>
      <c r="G92">
        <v>30</v>
      </c>
      <c r="H92" s="3">
        <v>1000</v>
      </c>
      <c r="I92" s="3">
        <v>200</v>
      </c>
      <c r="J92" s="3" t="str">
        <f>_xlfn.CONCAT("Definition of id ",SecondLine[[#This Row],[ProductId]])</f>
        <v>Definition of id 190</v>
      </c>
    </row>
    <row r="93" spans="1:10">
      <c r="A93" s="5">
        <v>44980</v>
      </c>
      <c r="B93">
        <f>MONTH(SecondLine[[#This Row],[Date]])</f>
        <v>2</v>
      </c>
      <c r="C93" s="3" t="s">
        <v>1</v>
      </c>
      <c r="D93" s="3" t="s">
        <v>46</v>
      </c>
      <c r="E93" s="3" t="s">
        <v>50</v>
      </c>
      <c r="F93">
        <v>191</v>
      </c>
      <c r="G93">
        <v>30</v>
      </c>
      <c r="H93" s="3">
        <v>1000</v>
      </c>
      <c r="I93" s="3">
        <v>200</v>
      </c>
      <c r="J93" s="3" t="str">
        <f>_xlfn.CONCAT("Definition of id ",SecondLine[[#This Row],[ProductId]])</f>
        <v>Definition of id 191</v>
      </c>
    </row>
    <row r="94" spans="1:10">
      <c r="A94" s="5">
        <v>44982</v>
      </c>
      <c r="B94">
        <f>MONTH(SecondLine[[#This Row],[Date]])</f>
        <v>2</v>
      </c>
      <c r="C94" s="3" t="s">
        <v>3</v>
      </c>
      <c r="D94" s="3" t="s">
        <v>46</v>
      </c>
      <c r="E94" s="3" t="s">
        <v>50</v>
      </c>
      <c r="F94">
        <v>192</v>
      </c>
      <c r="G94">
        <v>30</v>
      </c>
      <c r="H94" s="3">
        <v>1000</v>
      </c>
      <c r="I94" s="3">
        <v>200</v>
      </c>
      <c r="J94" s="3" t="str">
        <f>_xlfn.CONCAT("Definition of id ",SecondLine[[#This Row],[ProductId]])</f>
        <v>Definition of id 192</v>
      </c>
    </row>
    <row r="95" spans="1:10">
      <c r="A95" s="5">
        <v>44982</v>
      </c>
      <c r="B95">
        <f>MONTH(SecondLine[[#This Row],[Date]])</f>
        <v>2</v>
      </c>
      <c r="C95" s="3" t="s">
        <v>0</v>
      </c>
      <c r="D95" s="3" t="s">
        <v>46</v>
      </c>
      <c r="E95" s="3" t="s">
        <v>50</v>
      </c>
      <c r="F95">
        <v>193</v>
      </c>
      <c r="G95">
        <v>30</v>
      </c>
      <c r="H95" s="3">
        <v>1000</v>
      </c>
      <c r="I95" s="3">
        <v>200</v>
      </c>
      <c r="J95" s="3" t="str">
        <f>_xlfn.CONCAT("Definition of id ",SecondLine[[#This Row],[ProductId]])</f>
        <v>Definition of id 193</v>
      </c>
    </row>
    <row r="96" spans="1:10">
      <c r="A96" s="5">
        <v>44982</v>
      </c>
      <c r="B96">
        <f>MONTH(SecondLine[[#This Row],[Date]])</f>
        <v>2</v>
      </c>
      <c r="C96" s="3" t="s">
        <v>1</v>
      </c>
      <c r="D96" s="3" t="s">
        <v>46</v>
      </c>
      <c r="E96" s="3" t="s">
        <v>50</v>
      </c>
      <c r="F96">
        <v>194</v>
      </c>
      <c r="G96">
        <v>30</v>
      </c>
      <c r="H96" s="3">
        <v>1000</v>
      </c>
      <c r="I96" s="3">
        <v>200</v>
      </c>
      <c r="J96" s="3" t="str">
        <f>_xlfn.CONCAT("Definition of id ",SecondLine[[#This Row],[ProductId]])</f>
        <v>Definition of id 194</v>
      </c>
    </row>
    <row r="97" spans="1:10">
      <c r="A97" s="5">
        <v>44982</v>
      </c>
      <c r="B97">
        <f>MONTH(SecondLine[[#This Row],[Date]])</f>
        <v>2</v>
      </c>
      <c r="C97" s="3" t="s">
        <v>3</v>
      </c>
      <c r="D97" s="3" t="s">
        <v>46</v>
      </c>
      <c r="E97" s="3" t="s">
        <v>50</v>
      </c>
      <c r="F97">
        <v>195</v>
      </c>
      <c r="G97">
        <v>20</v>
      </c>
      <c r="H97" s="3">
        <v>1000</v>
      </c>
      <c r="I97" s="3">
        <v>2500</v>
      </c>
      <c r="J97" s="3" t="str">
        <f>_xlfn.CONCAT("Definition of id ",SecondLine[[#This Row],[ProductId]])</f>
        <v>Definition of id 195</v>
      </c>
    </row>
    <row r="98" spans="1:10">
      <c r="A98" s="5">
        <v>44984</v>
      </c>
      <c r="B98">
        <f>MONTH(SecondLine[[#This Row],[Date]])</f>
        <v>2</v>
      </c>
      <c r="C98" s="3" t="s">
        <v>0</v>
      </c>
      <c r="D98" s="3" t="s">
        <v>47</v>
      </c>
      <c r="E98" s="3" t="s">
        <v>49</v>
      </c>
      <c r="F98">
        <v>196</v>
      </c>
      <c r="G98">
        <v>20</v>
      </c>
      <c r="H98" s="3">
        <v>1000</v>
      </c>
      <c r="I98" s="3">
        <v>2500</v>
      </c>
      <c r="J98" s="3" t="str">
        <f>_xlfn.CONCAT("Definition of id ",SecondLine[[#This Row],[ProductId]])</f>
        <v>Definition of id 196</v>
      </c>
    </row>
    <row r="99" spans="1:10">
      <c r="A99" s="5">
        <v>44984</v>
      </c>
      <c r="B99">
        <f>MONTH(SecondLine[[#This Row],[Date]])</f>
        <v>2</v>
      </c>
      <c r="C99" s="3" t="s">
        <v>1</v>
      </c>
      <c r="D99" s="3" t="s">
        <v>47</v>
      </c>
      <c r="E99" s="3" t="s">
        <v>49</v>
      </c>
      <c r="F99">
        <v>197</v>
      </c>
      <c r="G99">
        <v>20</v>
      </c>
      <c r="H99" s="3">
        <v>1000</v>
      </c>
      <c r="I99" s="3">
        <v>2500</v>
      </c>
      <c r="J99" s="3" t="str">
        <f>_xlfn.CONCAT("Definition of id ",SecondLine[[#This Row],[ProductId]])</f>
        <v>Definition of id 197</v>
      </c>
    </row>
    <row r="100" spans="1:10">
      <c r="A100" s="5">
        <v>44984</v>
      </c>
      <c r="B100">
        <f>MONTH(SecondLine[[#This Row],[Date]])</f>
        <v>2</v>
      </c>
      <c r="C100" s="3" t="s">
        <v>3</v>
      </c>
      <c r="D100" s="3" t="s">
        <v>47</v>
      </c>
      <c r="E100" s="3" t="s">
        <v>49</v>
      </c>
      <c r="F100">
        <v>198</v>
      </c>
      <c r="G100">
        <v>20</v>
      </c>
      <c r="H100" s="3">
        <v>1000</v>
      </c>
      <c r="I100" s="3">
        <v>2500</v>
      </c>
      <c r="J100" s="3" t="str">
        <f>_xlfn.CONCAT("Definition of id ",SecondLine[[#This Row],[ProductId]])</f>
        <v>Definition of id 198</v>
      </c>
    </row>
    <row r="101" spans="1:10">
      <c r="A101" s="5">
        <v>44984</v>
      </c>
      <c r="B101">
        <f>MONTH(SecondLine[[#This Row],[Date]])</f>
        <v>2</v>
      </c>
      <c r="C101" s="3" t="s">
        <v>0</v>
      </c>
      <c r="D101" t="s">
        <v>46</v>
      </c>
      <c r="E101" t="s">
        <v>50</v>
      </c>
      <c r="F101">
        <v>199</v>
      </c>
      <c r="G101">
        <v>5</v>
      </c>
      <c r="H101" s="3">
        <v>500</v>
      </c>
      <c r="I101" s="3">
        <v>1000</v>
      </c>
      <c r="J101" s="3" t="str">
        <f>_xlfn.CONCAT("Definition of id ",SecondLine[[#This Row],[ProductId]])</f>
        <v>Definition of id 199</v>
      </c>
    </row>
    <row r="102" spans="1:10">
      <c r="A102" s="5">
        <v>44986</v>
      </c>
      <c r="B102">
        <f>MONTH(SecondLine[[#This Row],[Date]])</f>
        <v>3</v>
      </c>
      <c r="C102" s="3" t="s">
        <v>1</v>
      </c>
      <c r="D102" t="s">
        <v>46</v>
      </c>
      <c r="E102" t="s">
        <v>50</v>
      </c>
      <c r="F102">
        <v>200</v>
      </c>
      <c r="G102">
        <v>5</v>
      </c>
      <c r="H102" s="3">
        <v>500</v>
      </c>
      <c r="I102" s="3">
        <v>1000</v>
      </c>
      <c r="J102" s="3" t="str">
        <f>_xlfn.CONCAT("Definition of id ",SecondLine[[#This Row],[ProductId]])</f>
        <v>Definition of id 200</v>
      </c>
    </row>
    <row r="103" spans="1:10">
      <c r="A103" s="5">
        <v>44986</v>
      </c>
      <c r="B103">
        <f>MONTH(SecondLine[[#This Row],[Date]])</f>
        <v>3</v>
      </c>
      <c r="C103" s="3" t="s">
        <v>3</v>
      </c>
      <c r="D103" t="s">
        <v>46</v>
      </c>
      <c r="E103" t="s">
        <v>50</v>
      </c>
      <c r="F103">
        <v>201</v>
      </c>
      <c r="G103">
        <v>5</v>
      </c>
      <c r="H103" s="3">
        <v>500</v>
      </c>
      <c r="I103" s="3">
        <v>1000</v>
      </c>
      <c r="J103" s="3" t="str">
        <f>_xlfn.CONCAT("Definition of id ",SecondLine[[#This Row],[ProductId]])</f>
        <v>Definition of id 201</v>
      </c>
    </row>
    <row r="104" spans="1:10">
      <c r="A104" s="5">
        <v>44986</v>
      </c>
      <c r="B104">
        <f>MONTH(SecondLine[[#This Row],[Date]])</f>
        <v>3</v>
      </c>
      <c r="C104" s="3" t="s">
        <v>0</v>
      </c>
      <c r="D104" t="s">
        <v>46</v>
      </c>
      <c r="E104" t="s">
        <v>50</v>
      </c>
      <c r="F104">
        <v>202</v>
      </c>
      <c r="G104">
        <v>5</v>
      </c>
      <c r="H104" s="3">
        <v>500</v>
      </c>
      <c r="I104" s="3">
        <v>1000</v>
      </c>
      <c r="J104" s="3" t="str">
        <f>_xlfn.CONCAT("Definition of id ",SecondLine[[#This Row],[ProductId]])</f>
        <v>Definition of id 202</v>
      </c>
    </row>
    <row r="105" spans="1:10">
      <c r="A105" s="5">
        <v>44986</v>
      </c>
      <c r="B105">
        <f>MONTH(SecondLine[[#This Row],[Date]])</f>
        <v>3</v>
      </c>
      <c r="C105" s="3" t="s">
        <v>0</v>
      </c>
      <c r="D105" t="s">
        <v>46</v>
      </c>
      <c r="E105" t="s">
        <v>50</v>
      </c>
      <c r="F105">
        <v>203</v>
      </c>
      <c r="G105">
        <v>30</v>
      </c>
      <c r="H105" s="3">
        <v>1000</v>
      </c>
      <c r="I105" s="3">
        <v>200</v>
      </c>
      <c r="J105" s="3" t="str">
        <f>_xlfn.CONCAT("Definition of id ",SecondLine[[#This Row],[ProductId]])</f>
        <v>Definition of id 203</v>
      </c>
    </row>
    <row r="106" spans="1:10">
      <c r="A106" s="5">
        <v>44988</v>
      </c>
      <c r="B106">
        <f>MONTH(SecondLine[[#This Row],[Date]])</f>
        <v>3</v>
      </c>
      <c r="C106" s="3" t="s">
        <v>1</v>
      </c>
      <c r="D106" t="s">
        <v>46</v>
      </c>
      <c r="E106" t="s">
        <v>50</v>
      </c>
      <c r="F106">
        <v>204</v>
      </c>
      <c r="G106">
        <v>30</v>
      </c>
      <c r="H106" s="3">
        <v>1000</v>
      </c>
      <c r="I106" s="3">
        <v>200</v>
      </c>
      <c r="J106" s="3" t="str">
        <f>_xlfn.CONCAT("Definition of id ",SecondLine[[#This Row],[ProductId]])</f>
        <v>Definition of id 204</v>
      </c>
    </row>
    <row r="107" spans="1:10">
      <c r="A107" s="5">
        <v>44988</v>
      </c>
      <c r="B107">
        <f>MONTH(SecondLine[[#This Row],[Date]])</f>
        <v>3</v>
      </c>
      <c r="C107" s="3" t="s">
        <v>1</v>
      </c>
      <c r="D107" t="s">
        <v>45</v>
      </c>
      <c r="E107" t="s">
        <v>48</v>
      </c>
      <c r="F107">
        <v>205</v>
      </c>
      <c r="G107">
        <v>30</v>
      </c>
      <c r="H107" s="3">
        <v>1000</v>
      </c>
      <c r="I107" s="3">
        <v>200</v>
      </c>
      <c r="J107" s="3" t="str">
        <f>_xlfn.CONCAT("Definition of id ",SecondLine[[#This Row],[ProductId]])</f>
        <v>Definition of id 205</v>
      </c>
    </row>
    <row r="108" spans="1:10">
      <c r="A108" s="5">
        <v>44988</v>
      </c>
      <c r="B108">
        <f>MONTH(SecondLine[[#This Row],[Date]])</f>
        <v>3</v>
      </c>
      <c r="C108" s="3" t="s">
        <v>3</v>
      </c>
      <c r="D108" t="s">
        <v>45</v>
      </c>
      <c r="E108" t="s">
        <v>48</v>
      </c>
      <c r="F108">
        <v>206</v>
      </c>
      <c r="G108">
        <v>30</v>
      </c>
      <c r="H108" s="3">
        <v>1000</v>
      </c>
      <c r="I108" s="3">
        <v>200</v>
      </c>
      <c r="J108" s="3" t="str">
        <f>_xlfn.CONCAT("Definition of id ",SecondLine[[#This Row],[ProductId]])</f>
        <v>Definition of id 206</v>
      </c>
    </row>
    <row r="109" spans="1:10">
      <c r="A109" s="5">
        <v>44988</v>
      </c>
      <c r="B109">
        <f>MONTH(SecondLine[[#This Row],[Date]])</f>
        <v>3</v>
      </c>
      <c r="C109" s="3" t="s">
        <v>3</v>
      </c>
      <c r="D109" t="s">
        <v>45</v>
      </c>
      <c r="E109" t="s">
        <v>48</v>
      </c>
      <c r="F109">
        <v>207</v>
      </c>
      <c r="G109">
        <v>30</v>
      </c>
      <c r="H109" s="3">
        <v>1000</v>
      </c>
      <c r="I109" s="3">
        <v>200</v>
      </c>
      <c r="J109" s="3" t="str">
        <f>_xlfn.CONCAT("Definition of id ",SecondLine[[#This Row],[ProductId]])</f>
        <v>Definition of id 207</v>
      </c>
    </row>
    <row r="110" spans="1:10">
      <c r="A110" s="5">
        <v>44990</v>
      </c>
      <c r="B110">
        <f>MONTH(SecondLine[[#This Row],[Date]])</f>
        <v>3</v>
      </c>
      <c r="C110" s="3" t="s">
        <v>0</v>
      </c>
      <c r="D110" t="s">
        <v>45</v>
      </c>
      <c r="E110" t="s">
        <v>48</v>
      </c>
      <c r="F110">
        <v>208</v>
      </c>
      <c r="G110">
        <v>30</v>
      </c>
      <c r="H110" s="3">
        <v>1000</v>
      </c>
      <c r="I110" s="3">
        <v>200</v>
      </c>
      <c r="J110" s="3" t="str">
        <f>_xlfn.CONCAT("Definition of id ",SecondLine[[#This Row],[ProductId]])</f>
        <v>Definition of id 208</v>
      </c>
    </row>
    <row r="111" spans="1:10">
      <c r="A111" s="5">
        <v>44990</v>
      </c>
      <c r="B111">
        <f>MONTH(SecondLine[[#This Row],[Date]])</f>
        <v>3</v>
      </c>
      <c r="C111" s="3" t="s">
        <v>1</v>
      </c>
      <c r="D111" t="s">
        <v>45</v>
      </c>
      <c r="E111" t="s">
        <v>48</v>
      </c>
      <c r="F111">
        <v>209</v>
      </c>
      <c r="G111">
        <v>30</v>
      </c>
      <c r="H111" s="3">
        <v>1000</v>
      </c>
      <c r="I111" s="3">
        <v>200</v>
      </c>
      <c r="J111" s="3" t="str">
        <f>_xlfn.CONCAT("Definition of id ",SecondLine[[#This Row],[ProductId]])</f>
        <v>Definition of id 209</v>
      </c>
    </row>
    <row r="112" spans="1:10">
      <c r="A112" s="5">
        <v>44990</v>
      </c>
      <c r="B112">
        <f>MONTH(SecondLine[[#This Row],[Date]])</f>
        <v>3</v>
      </c>
      <c r="C112" s="3" t="s">
        <v>3</v>
      </c>
      <c r="D112" t="s">
        <v>45</v>
      </c>
      <c r="E112" t="s">
        <v>48</v>
      </c>
      <c r="F112">
        <v>210</v>
      </c>
      <c r="G112">
        <v>30</v>
      </c>
      <c r="H112" s="3">
        <v>1000</v>
      </c>
      <c r="I112" s="3">
        <v>200</v>
      </c>
      <c r="J112" s="3" t="str">
        <f>_xlfn.CONCAT("Definition of id ",SecondLine[[#This Row],[ProductId]])</f>
        <v>Definition of id 210</v>
      </c>
    </row>
    <row r="113" spans="1:10">
      <c r="A113" s="5">
        <v>44990</v>
      </c>
      <c r="B113">
        <f>MONTH(SecondLine[[#This Row],[Date]])</f>
        <v>3</v>
      </c>
      <c r="C113" s="3" t="s">
        <v>0</v>
      </c>
      <c r="D113" t="s">
        <v>45</v>
      </c>
      <c r="E113" t="s">
        <v>48</v>
      </c>
      <c r="F113">
        <v>211</v>
      </c>
      <c r="G113">
        <v>30</v>
      </c>
      <c r="H113" s="3">
        <v>1000</v>
      </c>
      <c r="I113" s="3">
        <v>200</v>
      </c>
      <c r="J113" s="3" t="str">
        <f>_xlfn.CONCAT("Definition of id ",SecondLine[[#This Row],[ProductId]])</f>
        <v>Definition of id 211</v>
      </c>
    </row>
    <row r="114" spans="1:10">
      <c r="A114" s="5">
        <v>44992</v>
      </c>
      <c r="B114">
        <f>MONTH(SecondLine[[#This Row],[Date]])</f>
        <v>3</v>
      </c>
      <c r="C114" s="3" t="s">
        <v>1</v>
      </c>
      <c r="D114" t="s">
        <v>45</v>
      </c>
      <c r="E114" t="s">
        <v>48</v>
      </c>
      <c r="F114">
        <v>212</v>
      </c>
      <c r="G114">
        <v>30</v>
      </c>
      <c r="H114" s="3">
        <v>1000</v>
      </c>
      <c r="I114" s="3">
        <v>200</v>
      </c>
      <c r="J114" s="3" t="str">
        <f>_xlfn.CONCAT("Definition of id ",SecondLine[[#This Row],[ProductId]])</f>
        <v>Definition of id 212</v>
      </c>
    </row>
    <row r="115" spans="1:10">
      <c r="A115" s="5">
        <v>44992</v>
      </c>
      <c r="B115">
        <f>MONTH(SecondLine[[#This Row],[Date]])</f>
        <v>3</v>
      </c>
      <c r="C115" s="3" t="s">
        <v>3</v>
      </c>
      <c r="D115" t="s">
        <v>47</v>
      </c>
      <c r="E115" t="s">
        <v>49</v>
      </c>
      <c r="F115">
        <v>213</v>
      </c>
      <c r="G115">
        <v>30</v>
      </c>
      <c r="H115" s="3">
        <v>1000</v>
      </c>
      <c r="I115" s="3">
        <v>200</v>
      </c>
      <c r="J115" s="3" t="str">
        <f>_xlfn.CONCAT("Definition of id ",SecondLine[[#This Row],[ProductId]])</f>
        <v>Definition of id 213</v>
      </c>
    </row>
    <row r="116" spans="1:10">
      <c r="A116" s="5">
        <v>44992</v>
      </c>
      <c r="B116">
        <f>MONTH(SecondLine[[#This Row],[Date]])</f>
        <v>3</v>
      </c>
      <c r="C116" s="3" t="s">
        <v>0</v>
      </c>
      <c r="D116" t="s">
        <v>47</v>
      </c>
      <c r="E116" t="s">
        <v>49</v>
      </c>
      <c r="F116">
        <v>214</v>
      </c>
      <c r="G116">
        <v>30</v>
      </c>
      <c r="H116" s="3">
        <v>1000</v>
      </c>
      <c r="I116" s="3">
        <v>200</v>
      </c>
      <c r="J116" s="3" t="str">
        <f>_xlfn.CONCAT("Definition of id ",SecondLine[[#This Row],[ProductId]])</f>
        <v>Definition of id 214</v>
      </c>
    </row>
    <row r="117" spans="1:10">
      <c r="A117" s="5">
        <v>44992</v>
      </c>
      <c r="B117">
        <f>MONTH(SecondLine[[#This Row],[Date]])</f>
        <v>3</v>
      </c>
      <c r="C117" s="3" t="s">
        <v>1</v>
      </c>
      <c r="D117" t="s">
        <v>47</v>
      </c>
      <c r="E117" t="s">
        <v>49</v>
      </c>
      <c r="F117">
        <v>215</v>
      </c>
      <c r="G117">
        <v>30</v>
      </c>
      <c r="H117" s="3">
        <v>1000</v>
      </c>
      <c r="I117" s="3">
        <v>200</v>
      </c>
      <c r="J117" s="3" t="str">
        <f>_xlfn.CONCAT("Definition of id ",SecondLine[[#This Row],[ProductId]])</f>
        <v>Definition of id 215</v>
      </c>
    </row>
    <row r="118" spans="1:10">
      <c r="A118" s="5">
        <v>44994</v>
      </c>
      <c r="B118">
        <f>MONTH(SecondLine[[#This Row],[Date]])</f>
        <v>3</v>
      </c>
      <c r="C118" s="3" t="s">
        <v>3</v>
      </c>
      <c r="D118" t="s">
        <v>47</v>
      </c>
      <c r="E118" t="s">
        <v>49</v>
      </c>
      <c r="F118">
        <v>216</v>
      </c>
      <c r="G118">
        <v>20</v>
      </c>
      <c r="H118" s="3">
        <v>1000</v>
      </c>
      <c r="I118" s="3">
        <v>2500</v>
      </c>
      <c r="J118" s="3" t="str">
        <f>_xlfn.CONCAT("Definition of id ",SecondLine[[#This Row],[ProductId]])</f>
        <v>Definition of id 216</v>
      </c>
    </row>
    <row r="119" spans="1:10">
      <c r="A119" s="5">
        <v>44994</v>
      </c>
      <c r="B119">
        <f>MONTH(SecondLine[[#This Row],[Date]])</f>
        <v>3</v>
      </c>
      <c r="C119" s="3" t="s">
        <v>0</v>
      </c>
      <c r="D119" t="s">
        <v>47</v>
      </c>
      <c r="E119" t="s">
        <v>49</v>
      </c>
      <c r="F119">
        <v>217</v>
      </c>
      <c r="G119">
        <v>20</v>
      </c>
      <c r="H119" s="3">
        <v>1000</v>
      </c>
      <c r="I119" s="3">
        <v>2500</v>
      </c>
      <c r="J119" s="3" t="str">
        <f>_xlfn.CONCAT("Definition of id ",SecondLine[[#This Row],[ProductId]])</f>
        <v>Definition of id 217</v>
      </c>
    </row>
    <row r="120" spans="1:10">
      <c r="A120" s="5">
        <v>44994</v>
      </c>
      <c r="B120">
        <f>MONTH(SecondLine[[#This Row],[Date]])</f>
        <v>3</v>
      </c>
      <c r="C120" s="3" t="s">
        <v>1</v>
      </c>
      <c r="D120" t="s">
        <v>47</v>
      </c>
      <c r="E120" t="s">
        <v>49</v>
      </c>
      <c r="F120">
        <v>218</v>
      </c>
      <c r="G120">
        <v>20</v>
      </c>
      <c r="H120" s="3">
        <v>1000</v>
      </c>
      <c r="I120" s="3">
        <v>2500</v>
      </c>
      <c r="J120" s="3" t="str">
        <f>_xlfn.CONCAT("Definition of id ",SecondLine[[#This Row],[ProductId]])</f>
        <v>Definition of id 218</v>
      </c>
    </row>
    <row r="121" spans="1:10">
      <c r="A121" s="5">
        <v>44994</v>
      </c>
      <c r="B121">
        <f>MONTH(SecondLine[[#This Row],[Date]])</f>
        <v>3</v>
      </c>
      <c r="C121" s="3" t="s">
        <v>3</v>
      </c>
      <c r="D121" t="s">
        <v>47</v>
      </c>
      <c r="E121" t="s">
        <v>49</v>
      </c>
      <c r="F121">
        <v>219</v>
      </c>
      <c r="G121">
        <v>20</v>
      </c>
      <c r="H121" s="3">
        <v>1000</v>
      </c>
      <c r="I121" s="3">
        <v>2500</v>
      </c>
      <c r="J121" s="3" t="str">
        <f>_xlfn.CONCAT("Definition of id ",SecondLine[[#This Row],[ProductId]])</f>
        <v>Definition of id 219</v>
      </c>
    </row>
    <row r="122" spans="1:10">
      <c r="A122" s="5">
        <v>44996</v>
      </c>
      <c r="B122">
        <f>MONTH(SecondLine[[#This Row],[Date]])</f>
        <v>3</v>
      </c>
      <c r="C122" s="3" t="s">
        <v>0</v>
      </c>
      <c r="D122" t="s">
        <v>47</v>
      </c>
      <c r="E122" t="s">
        <v>49</v>
      </c>
      <c r="F122">
        <v>220</v>
      </c>
      <c r="G122">
        <v>5</v>
      </c>
      <c r="H122" s="3">
        <v>500</v>
      </c>
      <c r="I122" s="3">
        <v>1000</v>
      </c>
      <c r="J122" s="3" t="str">
        <f>_xlfn.CONCAT("Definition of id ",SecondLine[[#This Row],[ProductId]])</f>
        <v>Definition of id 220</v>
      </c>
    </row>
    <row r="123" spans="1:10">
      <c r="A123" s="5">
        <v>44996</v>
      </c>
      <c r="B123">
        <f>MONTH(SecondLine[[#This Row],[Date]])</f>
        <v>3</v>
      </c>
      <c r="C123" s="3" t="s">
        <v>0</v>
      </c>
      <c r="D123" t="s">
        <v>47</v>
      </c>
      <c r="E123" t="s">
        <v>49</v>
      </c>
      <c r="F123">
        <v>221</v>
      </c>
      <c r="G123">
        <v>5</v>
      </c>
      <c r="H123" s="3">
        <v>500</v>
      </c>
      <c r="I123" s="3">
        <v>1000</v>
      </c>
      <c r="J123" s="3" t="str">
        <f>_xlfn.CONCAT("Definition of id ",SecondLine[[#This Row],[ProductId]])</f>
        <v>Definition of id 221</v>
      </c>
    </row>
    <row r="124" spans="1:10">
      <c r="A124" s="5">
        <v>44996</v>
      </c>
      <c r="B124">
        <f>MONTH(SecondLine[[#This Row],[Date]])</f>
        <v>3</v>
      </c>
      <c r="C124" s="3" t="s">
        <v>1</v>
      </c>
      <c r="D124" t="s">
        <v>47</v>
      </c>
      <c r="E124" t="s">
        <v>49</v>
      </c>
      <c r="F124">
        <v>222</v>
      </c>
      <c r="G124">
        <v>5</v>
      </c>
      <c r="H124" s="3">
        <v>500</v>
      </c>
      <c r="I124" s="3">
        <v>1000</v>
      </c>
      <c r="J124" s="3" t="str">
        <f>_xlfn.CONCAT("Definition of id ",SecondLine[[#This Row],[ProductId]])</f>
        <v>Definition of id 222</v>
      </c>
    </row>
    <row r="125" spans="1:10">
      <c r="A125" s="5">
        <v>44996</v>
      </c>
      <c r="B125">
        <f>MONTH(SecondLine[[#This Row],[Date]])</f>
        <v>3</v>
      </c>
      <c r="C125" s="3" t="s">
        <v>1</v>
      </c>
      <c r="D125" t="s">
        <v>47</v>
      </c>
      <c r="E125" t="s">
        <v>49</v>
      </c>
      <c r="F125">
        <v>223</v>
      </c>
      <c r="G125">
        <v>5</v>
      </c>
      <c r="H125" s="3">
        <v>500</v>
      </c>
      <c r="I125" s="3">
        <v>1000</v>
      </c>
      <c r="J125" s="3" t="str">
        <f>_xlfn.CONCAT("Definition of id ",SecondLine[[#This Row],[ProductId]])</f>
        <v>Definition of id 223</v>
      </c>
    </row>
    <row r="126" spans="1:10">
      <c r="A126" s="5">
        <v>44998</v>
      </c>
      <c r="B126">
        <f>MONTH(SecondLine[[#This Row],[Date]])</f>
        <v>3</v>
      </c>
      <c r="C126" s="3" t="s">
        <v>3</v>
      </c>
      <c r="D126" t="s">
        <v>45</v>
      </c>
      <c r="E126" t="s">
        <v>48</v>
      </c>
      <c r="F126">
        <v>224</v>
      </c>
      <c r="G126">
        <v>30</v>
      </c>
      <c r="H126" s="3">
        <v>1000</v>
      </c>
      <c r="I126" s="3">
        <v>200</v>
      </c>
      <c r="J126" s="3" t="str">
        <f>_xlfn.CONCAT("Definition of id ",SecondLine[[#This Row],[ProductId]])</f>
        <v>Definition of id 224</v>
      </c>
    </row>
    <row r="127" spans="1:10">
      <c r="A127" s="5">
        <v>44998</v>
      </c>
      <c r="B127">
        <f>MONTH(SecondLine[[#This Row],[Date]])</f>
        <v>3</v>
      </c>
      <c r="C127" s="3" t="s">
        <v>3</v>
      </c>
      <c r="D127" t="s">
        <v>45</v>
      </c>
      <c r="E127" t="s">
        <v>48</v>
      </c>
      <c r="F127">
        <v>225</v>
      </c>
      <c r="G127">
        <v>30</v>
      </c>
      <c r="H127" s="3">
        <v>1000</v>
      </c>
      <c r="I127" s="3">
        <v>200</v>
      </c>
      <c r="J127" s="3" t="str">
        <f>_xlfn.CONCAT("Definition of id ",SecondLine[[#This Row],[ProductId]])</f>
        <v>Definition of id 225</v>
      </c>
    </row>
    <row r="128" spans="1:10">
      <c r="A128" s="5">
        <v>44998</v>
      </c>
      <c r="B128">
        <f>MONTH(SecondLine[[#This Row],[Date]])</f>
        <v>3</v>
      </c>
      <c r="C128" s="3" t="s">
        <v>0</v>
      </c>
      <c r="D128" t="s">
        <v>45</v>
      </c>
      <c r="E128" t="s">
        <v>48</v>
      </c>
      <c r="F128">
        <v>226</v>
      </c>
      <c r="G128">
        <v>30</v>
      </c>
      <c r="H128" s="3">
        <v>1000</v>
      </c>
      <c r="I128" s="3">
        <v>200</v>
      </c>
      <c r="J128" s="3" t="str">
        <f>_xlfn.CONCAT("Definition of id ",SecondLine[[#This Row],[ProductId]])</f>
        <v>Definition of id 226</v>
      </c>
    </row>
    <row r="129" spans="1:10">
      <c r="A129" s="5">
        <v>44998</v>
      </c>
      <c r="B129">
        <f>MONTH(SecondLine[[#This Row],[Date]])</f>
        <v>3</v>
      </c>
      <c r="C129" s="3" t="s">
        <v>1</v>
      </c>
      <c r="D129" t="s">
        <v>45</v>
      </c>
      <c r="E129" t="s">
        <v>48</v>
      </c>
      <c r="F129">
        <v>227</v>
      </c>
      <c r="G129">
        <v>30</v>
      </c>
      <c r="H129" s="3">
        <v>1000</v>
      </c>
      <c r="I129" s="3">
        <v>200</v>
      </c>
      <c r="J129" s="3" t="str">
        <f>_xlfn.CONCAT("Definition of id ",SecondLine[[#This Row],[ProductId]])</f>
        <v>Definition of id 227</v>
      </c>
    </row>
    <row r="130" spans="1:10">
      <c r="A130" s="5">
        <v>45000</v>
      </c>
      <c r="B130">
        <f>MONTH(SecondLine[[#This Row],[Date]])</f>
        <v>3</v>
      </c>
      <c r="C130" s="3" t="s">
        <v>3</v>
      </c>
      <c r="D130" t="s">
        <v>45</v>
      </c>
      <c r="E130" t="s">
        <v>48</v>
      </c>
      <c r="F130">
        <v>228</v>
      </c>
      <c r="G130">
        <v>30</v>
      </c>
      <c r="H130" s="3">
        <v>1000</v>
      </c>
      <c r="I130" s="3">
        <v>200</v>
      </c>
      <c r="J130" s="3" t="str">
        <f>_xlfn.CONCAT("Definition of id ",SecondLine[[#This Row],[ProductId]])</f>
        <v>Definition of id 228</v>
      </c>
    </row>
    <row r="131" spans="1:10">
      <c r="A131" s="5">
        <v>45000</v>
      </c>
      <c r="B131">
        <f>MONTH(SecondLine[[#This Row],[Date]])</f>
        <v>3</v>
      </c>
      <c r="C131" s="3" t="s">
        <v>0</v>
      </c>
      <c r="D131" t="s">
        <v>45</v>
      </c>
      <c r="E131" t="s">
        <v>48</v>
      </c>
      <c r="F131">
        <v>229</v>
      </c>
      <c r="G131">
        <v>30</v>
      </c>
      <c r="H131" s="3">
        <v>1000</v>
      </c>
      <c r="I131" s="3">
        <v>200</v>
      </c>
      <c r="J131" s="3" t="str">
        <f>_xlfn.CONCAT("Definition of id ",SecondLine[[#This Row],[ProductId]])</f>
        <v>Definition of id 229</v>
      </c>
    </row>
    <row r="132" spans="1:10">
      <c r="A132" s="5">
        <v>45000</v>
      </c>
      <c r="B132">
        <f>MONTH(SecondLine[[#This Row],[Date]])</f>
        <v>3</v>
      </c>
      <c r="C132" s="3" t="s">
        <v>1</v>
      </c>
      <c r="D132" t="s">
        <v>45</v>
      </c>
      <c r="E132" t="s">
        <v>48</v>
      </c>
      <c r="F132">
        <v>230</v>
      </c>
      <c r="G132">
        <v>30</v>
      </c>
      <c r="H132" s="3">
        <v>1000</v>
      </c>
      <c r="I132" s="3">
        <v>200</v>
      </c>
      <c r="J132" s="3" t="str">
        <f>_xlfn.CONCAT("Definition of id ",SecondLine[[#This Row],[ProductId]])</f>
        <v>Definition of id 230</v>
      </c>
    </row>
    <row r="133" spans="1:10">
      <c r="A133" s="5">
        <v>45000</v>
      </c>
      <c r="B133">
        <f>MONTH(SecondLine[[#This Row],[Date]])</f>
        <v>3</v>
      </c>
      <c r="C133" s="3" t="s">
        <v>3</v>
      </c>
      <c r="D133" t="s">
        <v>45</v>
      </c>
      <c r="E133" t="s">
        <v>48</v>
      </c>
      <c r="F133">
        <v>231</v>
      </c>
      <c r="G133">
        <v>20</v>
      </c>
      <c r="H133" s="3">
        <v>1000</v>
      </c>
      <c r="I133" s="3">
        <v>2500</v>
      </c>
      <c r="J133" s="3" t="str">
        <f>_xlfn.CONCAT("Definition of id ",SecondLine[[#This Row],[ProductId]])</f>
        <v>Definition of id 231</v>
      </c>
    </row>
    <row r="134" spans="1:10">
      <c r="A134" s="5">
        <v>45002</v>
      </c>
      <c r="B134">
        <f>MONTH(SecondLine[[#This Row],[Date]])</f>
        <v>3</v>
      </c>
      <c r="C134" s="3" t="s">
        <v>0</v>
      </c>
      <c r="D134" t="s">
        <v>45</v>
      </c>
      <c r="E134" t="s">
        <v>48</v>
      </c>
      <c r="F134">
        <v>232</v>
      </c>
      <c r="G134">
        <v>20</v>
      </c>
      <c r="H134" s="3">
        <v>1000</v>
      </c>
      <c r="I134" s="3">
        <v>2500</v>
      </c>
      <c r="J134" s="3" t="str">
        <f>_xlfn.CONCAT("Definition of id ",SecondLine[[#This Row],[ProductId]])</f>
        <v>Definition of id 232</v>
      </c>
    </row>
    <row r="135" spans="1:10">
      <c r="A135" s="5">
        <v>45002</v>
      </c>
      <c r="B135">
        <f>MONTH(SecondLine[[#This Row],[Date]])</f>
        <v>3</v>
      </c>
      <c r="C135" s="3" t="s">
        <v>1</v>
      </c>
      <c r="D135" t="s">
        <v>45</v>
      </c>
      <c r="E135" t="s">
        <v>48</v>
      </c>
      <c r="F135">
        <v>233</v>
      </c>
      <c r="G135">
        <v>20</v>
      </c>
      <c r="H135" s="3">
        <v>1000</v>
      </c>
      <c r="I135" s="3">
        <v>2500</v>
      </c>
      <c r="J135" s="3" t="str">
        <f>_xlfn.CONCAT("Definition of id ",SecondLine[[#This Row],[ProductId]])</f>
        <v>Definition of id 233</v>
      </c>
    </row>
    <row r="136" spans="1:10">
      <c r="A136" s="5">
        <v>45002</v>
      </c>
      <c r="B136">
        <f>MONTH(SecondLine[[#This Row],[Date]])</f>
        <v>3</v>
      </c>
      <c r="C136" s="3" t="s">
        <v>3</v>
      </c>
      <c r="D136" t="s">
        <v>45</v>
      </c>
      <c r="E136" t="s">
        <v>48</v>
      </c>
      <c r="F136">
        <v>234</v>
      </c>
      <c r="G136">
        <v>20</v>
      </c>
      <c r="H136" s="3">
        <v>1000</v>
      </c>
      <c r="I136" s="3">
        <v>2500</v>
      </c>
      <c r="J136" s="3" t="str">
        <f>_xlfn.CONCAT("Definition of id ",SecondLine[[#This Row],[ProductId]])</f>
        <v>Definition of id 234</v>
      </c>
    </row>
    <row r="137" spans="1:10">
      <c r="A137" s="5">
        <v>45002</v>
      </c>
      <c r="B137">
        <f>MONTH(SecondLine[[#This Row],[Date]])</f>
        <v>3</v>
      </c>
      <c r="C137" s="3" t="s">
        <v>0</v>
      </c>
      <c r="D137" t="s">
        <v>45</v>
      </c>
      <c r="E137" t="s">
        <v>48</v>
      </c>
      <c r="F137">
        <v>235</v>
      </c>
      <c r="G137">
        <v>5</v>
      </c>
      <c r="H137" s="3">
        <v>500</v>
      </c>
      <c r="I137" s="3">
        <v>1000</v>
      </c>
      <c r="J137" s="3" t="str">
        <f>_xlfn.CONCAT("Definition of id ",SecondLine[[#This Row],[ProductId]])</f>
        <v>Definition of id 235</v>
      </c>
    </row>
    <row r="138" spans="1:10">
      <c r="A138" s="5">
        <v>45004</v>
      </c>
      <c r="B138">
        <f>MONTH(SecondLine[[#This Row],[Date]])</f>
        <v>3</v>
      </c>
      <c r="C138" s="3" t="s">
        <v>1</v>
      </c>
      <c r="D138" t="s">
        <v>45</v>
      </c>
      <c r="E138" t="s">
        <v>48</v>
      </c>
      <c r="F138">
        <v>236</v>
      </c>
      <c r="G138">
        <v>5</v>
      </c>
      <c r="H138" s="3">
        <v>500</v>
      </c>
      <c r="I138" s="3">
        <v>1000</v>
      </c>
      <c r="J138" s="3" t="str">
        <f>_xlfn.CONCAT("Definition of id ",SecondLine[[#This Row],[ProductId]])</f>
        <v>Definition of id 236</v>
      </c>
    </row>
    <row r="139" spans="1:10">
      <c r="A139" s="5">
        <v>45004</v>
      </c>
      <c r="B139">
        <f>MONTH(SecondLine[[#This Row],[Date]])</f>
        <v>3</v>
      </c>
      <c r="C139" s="3" t="s">
        <v>3</v>
      </c>
      <c r="D139" t="s">
        <v>45</v>
      </c>
      <c r="E139" t="s">
        <v>48</v>
      </c>
      <c r="F139">
        <v>237</v>
      </c>
      <c r="G139">
        <v>5</v>
      </c>
      <c r="H139" s="3">
        <v>500</v>
      </c>
      <c r="I139" s="3">
        <v>1000</v>
      </c>
      <c r="J139" s="3" t="str">
        <f>_xlfn.CONCAT("Definition of id ",SecondLine[[#This Row],[ProductId]])</f>
        <v>Definition of id 237</v>
      </c>
    </row>
    <row r="140" spans="1:10">
      <c r="A140" s="5">
        <v>45004</v>
      </c>
      <c r="B140">
        <f>MONTH(SecondLine[[#This Row],[Date]])</f>
        <v>3</v>
      </c>
      <c r="C140" s="3" t="s">
        <v>0</v>
      </c>
      <c r="D140" s="3" t="s">
        <v>46</v>
      </c>
      <c r="E140" s="3" t="s">
        <v>50</v>
      </c>
      <c r="F140">
        <v>238</v>
      </c>
      <c r="G140">
        <v>5</v>
      </c>
      <c r="H140" s="3">
        <v>500</v>
      </c>
      <c r="I140" s="3">
        <v>1000</v>
      </c>
      <c r="J140" s="3" t="str">
        <f>_xlfn.CONCAT("Definition of id ",SecondLine[[#This Row],[ProductId]])</f>
        <v>Definition of id 238</v>
      </c>
    </row>
    <row r="141" spans="1:10">
      <c r="A141" s="5">
        <v>45004</v>
      </c>
      <c r="B141">
        <f>MONTH(SecondLine[[#This Row],[Date]])</f>
        <v>3</v>
      </c>
      <c r="C141" s="3" t="s">
        <v>0</v>
      </c>
      <c r="D141" s="3" t="s">
        <v>46</v>
      </c>
      <c r="E141" s="3" t="s">
        <v>50</v>
      </c>
      <c r="F141">
        <v>239</v>
      </c>
      <c r="G141">
        <v>30</v>
      </c>
      <c r="H141" s="3">
        <v>1000</v>
      </c>
      <c r="I141" s="3">
        <v>200</v>
      </c>
      <c r="J141" s="3" t="str">
        <f>_xlfn.CONCAT("Definition of id ",SecondLine[[#This Row],[ProductId]])</f>
        <v>Definition of id 239</v>
      </c>
    </row>
    <row r="142" spans="1:10">
      <c r="A142" s="5">
        <v>45006</v>
      </c>
      <c r="B142">
        <f>MONTH(SecondLine[[#This Row],[Date]])</f>
        <v>3</v>
      </c>
      <c r="C142" s="3" t="s">
        <v>1</v>
      </c>
      <c r="D142" s="3" t="s">
        <v>46</v>
      </c>
      <c r="E142" s="3" t="s">
        <v>50</v>
      </c>
      <c r="F142">
        <v>240</v>
      </c>
      <c r="G142">
        <v>30</v>
      </c>
      <c r="H142" s="3">
        <v>1000</v>
      </c>
      <c r="I142" s="3">
        <v>200</v>
      </c>
      <c r="J142" s="3" t="str">
        <f>_xlfn.CONCAT("Definition of id ",SecondLine[[#This Row],[ProductId]])</f>
        <v>Definition of id 240</v>
      </c>
    </row>
    <row r="143" spans="1:10">
      <c r="A143" s="5">
        <v>45006</v>
      </c>
      <c r="B143">
        <f>MONTH(SecondLine[[#This Row],[Date]])</f>
        <v>3</v>
      </c>
      <c r="C143" s="3" t="s">
        <v>1</v>
      </c>
      <c r="D143" s="3" t="s">
        <v>46</v>
      </c>
      <c r="E143" s="3" t="s">
        <v>50</v>
      </c>
      <c r="F143">
        <v>241</v>
      </c>
      <c r="G143">
        <v>30</v>
      </c>
      <c r="H143" s="3">
        <v>1000</v>
      </c>
      <c r="I143" s="3">
        <v>200</v>
      </c>
      <c r="J143" s="3" t="str">
        <f>_xlfn.CONCAT("Definition of id ",SecondLine[[#This Row],[ProductId]])</f>
        <v>Definition of id 241</v>
      </c>
    </row>
    <row r="144" spans="1:10">
      <c r="A144" s="5">
        <v>45006</v>
      </c>
      <c r="B144">
        <f>MONTH(SecondLine[[#This Row],[Date]])</f>
        <v>3</v>
      </c>
      <c r="C144" s="3" t="s">
        <v>3</v>
      </c>
      <c r="D144" s="3" t="s">
        <v>46</v>
      </c>
      <c r="E144" s="3" t="s">
        <v>50</v>
      </c>
      <c r="F144">
        <v>242</v>
      </c>
      <c r="G144">
        <v>20</v>
      </c>
      <c r="H144" s="3">
        <v>1000</v>
      </c>
      <c r="I144" s="3">
        <v>2500</v>
      </c>
      <c r="J144" s="3" t="str">
        <f>_xlfn.CONCAT("Definition of id ",SecondLine[[#This Row],[ProductId]])</f>
        <v>Definition of id 242</v>
      </c>
    </row>
    <row r="145" spans="1:10">
      <c r="A145" s="5">
        <v>45006</v>
      </c>
      <c r="B145">
        <f>MONTH(SecondLine[[#This Row],[Date]])</f>
        <v>3</v>
      </c>
      <c r="C145" s="3" t="s">
        <v>3</v>
      </c>
      <c r="D145" s="3" t="s">
        <v>46</v>
      </c>
      <c r="E145" s="3" t="s">
        <v>50</v>
      </c>
      <c r="F145">
        <v>243</v>
      </c>
      <c r="G145">
        <v>20</v>
      </c>
      <c r="H145" s="3">
        <v>1000</v>
      </c>
      <c r="I145" s="3">
        <v>2500</v>
      </c>
      <c r="J145" s="3" t="str">
        <f>_xlfn.CONCAT("Definition of id ",SecondLine[[#This Row],[ProductId]])</f>
        <v>Definition of id 243</v>
      </c>
    </row>
    <row r="146" spans="1:10">
      <c r="A146" s="5">
        <v>45008</v>
      </c>
      <c r="B146">
        <f>MONTH(SecondLine[[#This Row],[Date]])</f>
        <v>3</v>
      </c>
      <c r="C146" s="3" t="s">
        <v>0</v>
      </c>
      <c r="D146" s="3" t="s">
        <v>47</v>
      </c>
      <c r="E146" s="3" t="s">
        <v>49</v>
      </c>
      <c r="F146">
        <v>244</v>
      </c>
      <c r="G146">
        <v>20</v>
      </c>
      <c r="H146" s="3">
        <v>1000</v>
      </c>
      <c r="I146" s="3">
        <v>2500</v>
      </c>
      <c r="J146" s="3" t="str">
        <f>_xlfn.CONCAT("Definition of id ",SecondLine[[#This Row],[ProductId]])</f>
        <v>Definition of id 244</v>
      </c>
    </row>
    <row r="147" spans="1:10">
      <c r="A147" s="5">
        <v>45008</v>
      </c>
      <c r="B147">
        <f>MONTH(SecondLine[[#This Row],[Date]])</f>
        <v>3</v>
      </c>
      <c r="C147" s="3" t="s">
        <v>1</v>
      </c>
      <c r="D147" s="3" t="s">
        <v>47</v>
      </c>
      <c r="E147" s="3" t="s">
        <v>49</v>
      </c>
      <c r="F147">
        <v>245</v>
      </c>
      <c r="G147">
        <v>20</v>
      </c>
      <c r="H147" s="3">
        <v>1000</v>
      </c>
      <c r="I147" s="3">
        <v>2500</v>
      </c>
      <c r="J147" s="3" t="str">
        <f>_xlfn.CONCAT("Definition of id ",SecondLine[[#This Row],[ProductId]])</f>
        <v>Definition of id 245</v>
      </c>
    </row>
    <row r="148" spans="1:10">
      <c r="A148" s="5">
        <v>45008</v>
      </c>
      <c r="B148">
        <f>MONTH(SecondLine[[#This Row],[Date]])</f>
        <v>3</v>
      </c>
      <c r="C148" s="3" t="s">
        <v>3</v>
      </c>
      <c r="D148" s="3" t="s">
        <v>47</v>
      </c>
      <c r="E148" s="3" t="s">
        <v>49</v>
      </c>
      <c r="F148">
        <v>246</v>
      </c>
      <c r="G148">
        <v>5</v>
      </c>
      <c r="H148" s="3">
        <v>500</v>
      </c>
      <c r="I148" s="3">
        <v>1000</v>
      </c>
      <c r="J148" s="3" t="str">
        <f>_xlfn.CONCAT("Definition of id ",SecondLine[[#This Row],[ProductId]])</f>
        <v>Definition of id 246</v>
      </c>
    </row>
    <row r="149" spans="1:10">
      <c r="A149" s="5">
        <v>45008</v>
      </c>
      <c r="B149">
        <f>MONTH(SecondLine[[#This Row],[Date]])</f>
        <v>3</v>
      </c>
      <c r="C149" s="3" t="s">
        <v>0</v>
      </c>
      <c r="D149" t="s">
        <v>46</v>
      </c>
      <c r="E149" t="s">
        <v>50</v>
      </c>
      <c r="F149">
        <v>247</v>
      </c>
      <c r="G149">
        <v>5</v>
      </c>
      <c r="H149" s="3">
        <v>500</v>
      </c>
      <c r="I149" s="3">
        <v>1000</v>
      </c>
      <c r="J149" s="3" t="str">
        <f>_xlfn.CONCAT("Definition of id ",SecondLine[[#This Row],[ProductId]])</f>
        <v>Definition of id 247</v>
      </c>
    </row>
    <row r="150" spans="1:10">
      <c r="A150" s="5">
        <v>45010</v>
      </c>
      <c r="B150">
        <f>MONTH(SecondLine[[#This Row],[Date]])</f>
        <v>3</v>
      </c>
      <c r="C150" s="3" t="s">
        <v>1</v>
      </c>
      <c r="D150" t="s">
        <v>46</v>
      </c>
      <c r="E150" t="s">
        <v>50</v>
      </c>
      <c r="F150">
        <v>248</v>
      </c>
      <c r="G150">
        <v>5</v>
      </c>
      <c r="H150" s="3">
        <v>500</v>
      </c>
      <c r="I150" s="3">
        <v>1000</v>
      </c>
      <c r="J150" s="3" t="str">
        <f>_xlfn.CONCAT("Definition of id ",SecondLine[[#This Row],[ProductId]])</f>
        <v>Definition of id 248</v>
      </c>
    </row>
    <row r="151" spans="1:10">
      <c r="A151" s="5">
        <v>45010</v>
      </c>
      <c r="B151">
        <f>MONTH(SecondLine[[#This Row],[Date]])</f>
        <v>3</v>
      </c>
      <c r="C151" s="3" t="s">
        <v>3</v>
      </c>
      <c r="D151" t="s">
        <v>46</v>
      </c>
      <c r="E151" t="s">
        <v>50</v>
      </c>
      <c r="F151">
        <v>249</v>
      </c>
      <c r="G151">
        <v>5</v>
      </c>
      <c r="H151" s="3">
        <v>500</v>
      </c>
      <c r="I151" s="3">
        <v>1000</v>
      </c>
      <c r="J151" s="3" t="str">
        <f>_xlfn.CONCAT("Definition of id ",SecondLine[[#This Row],[ProductId]])</f>
        <v>Definition of id 249</v>
      </c>
    </row>
    <row r="152" spans="1:10">
      <c r="A152" s="5">
        <v>45010</v>
      </c>
      <c r="B152">
        <f>MONTH(SecondLine[[#This Row],[Date]])</f>
        <v>3</v>
      </c>
      <c r="C152" s="3" t="s">
        <v>0</v>
      </c>
      <c r="D152" t="s">
        <v>46</v>
      </c>
      <c r="E152" t="s">
        <v>50</v>
      </c>
      <c r="F152">
        <v>250</v>
      </c>
      <c r="G152">
        <v>30</v>
      </c>
      <c r="H152" s="3">
        <v>1000</v>
      </c>
      <c r="I152" s="3">
        <v>200</v>
      </c>
      <c r="J152" s="3" t="str">
        <f>_xlfn.CONCAT("Definition of id ",SecondLine[[#This Row],[ProductId]])</f>
        <v>Definition of id 250</v>
      </c>
    </row>
    <row r="153" spans="1:10">
      <c r="A153" s="5">
        <v>45010</v>
      </c>
      <c r="B153">
        <f>MONTH(SecondLine[[#This Row],[Date]])</f>
        <v>3</v>
      </c>
      <c r="C153" s="3" t="s">
        <v>1</v>
      </c>
      <c r="D153" t="s">
        <v>46</v>
      </c>
      <c r="E153" t="s">
        <v>50</v>
      </c>
      <c r="F153">
        <v>251</v>
      </c>
      <c r="G153">
        <v>30</v>
      </c>
      <c r="H153" s="3">
        <v>1000</v>
      </c>
      <c r="I153" s="3">
        <v>200</v>
      </c>
      <c r="J153" s="3" t="str">
        <f>_xlfn.CONCAT("Definition of id ",SecondLine[[#This Row],[ProductId]])</f>
        <v>Definition of id 251</v>
      </c>
    </row>
    <row r="154" spans="1:10">
      <c r="A154" s="5">
        <v>45012</v>
      </c>
      <c r="B154">
        <f>MONTH(SecondLine[[#This Row],[Date]])</f>
        <v>3</v>
      </c>
      <c r="C154" s="3" t="s">
        <v>3</v>
      </c>
      <c r="D154" t="s">
        <v>46</v>
      </c>
      <c r="E154" t="s">
        <v>50</v>
      </c>
      <c r="F154">
        <v>252</v>
      </c>
      <c r="G154">
        <v>30</v>
      </c>
      <c r="H154" s="3">
        <v>1000</v>
      </c>
      <c r="I154" s="3">
        <v>200</v>
      </c>
      <c r="J154" s="3" t="str">
        <f>_xlfn.CONCAT("Definition of id ",SecondLine[[#This Row],[ProductId]])</f>
        <v>Definition of id 252</v>
      </c>
    </row>
    <row r="155" spans="1:10">
      <c r="A155" s="5">
        <v>45012</v>
      </c>
      <c r="B155">
        <f>MONTH(SecondLine[[#This Row],[Date]])</f>
        <v>3</v>
      </c>
      <c r="C155" s="3" t="s">
        <v>0</v>
      </c>
      <c r="D155" t="s">
        <v>45</v>
      </c>
      <c r="E155" t="s">
        <v>48</v>
      </c>
      <c r="F155">
        <v>253</v>
      </c>
      <c r="G155">
        <v>30</v>
      </c>
      <c r="H155" s="3">
        <v>1000</v>
      </c>
      <c r="I155" s="3">
        <v>200</v>
      </c>
      <c r="J155" s="3" t="str">
        <f>_xlfn.CONCAT("Definition of id ",SecondLine[[#This Row],[ProductId]])</f>
        <v>Definition of id 253</v>
      </c>
    </row>
    <row r="156" spans="1:10">
      <c r="A156" s="5">
        <v>45012</v>
      </c>
      <c r="B156">
        <f>MONTH(SecondLine[[#This Row],[Date]])</f>
        <v>3</v>
      </c>
      <c r="C156" s="3" t="s">
        <v>1</v>
      </c>
      <c r="D156" t="s">
        <v>45</v>
      </c>
      <c r="E156" t="s">
        <v>48</v>
      </c>
      <c r="F156">
        <v>254</v>
      </c>
      <c r="G156">
        <v>30</v>
      </c>
      <c r="H156" s="3">
        <v>1000</v>
      </c>
      <c r="I156" s="3">
        <v>200</v>
      </c>
      <c r="J156" s="3" t="str">
        <f>_xlfn.CONCAT("Definition of id ",SecondLine[[#This Row],[ProductId]])</f>
        <v>Definition of id 254</v>
      </c>
    </row>
    <row r="157" spans="1:10">
      <c r="A157" s="5">
        <v>45012</v>
      </c>
      <c r="B157">
        <f>MONTH(SecondLine[[#This Row],[Date]])</f>
        <v>3</v>
      </c>
      <c r="C157" s="3" t="s">
        <v>3</v>
      </c>
      <c r="D157" t="s">
        <v>45</v>
      </c>
      <c r="E157" t="s">
        <v>48</v>
      </c>
      <c r="F157">
        <v>255</v>
      </c>
      <c r="G157">
        <v>30</v>
      </c>
      <c r="H157" s="3">
        <v>1000</v>
      </c>
      <c r="I157" s="3">
        <v>200</v>
      </c>
      <c r="J157" s="3" t="str">
        <f>_xlfn.CONCAT("Definition of id ",SecondLine[[#This Row],[ProductId]])</f>
        <v>Definition of id 255</v>
      </c>
    </row>
    <row r="158" spans="1:10">
      <c r="A158" s="5">
        <v>45014</v>
      </c>
      <c r="B158">
        <f>MONTH(SecondLine[[#This Row],[Date]])</f>
        <v>3</v>
      </c>
      <c r="C158" s="3" t="s">
        <v>0</v>
      </c>
      <c r="D158" t="s">
        <v>45</v>
      </c>
      <c r="E158" t="s">
        <v>48</v>
      </c>
      <c r="F158">
        <v>256</v>
      </c>
      <c r="G158">
        <v>30</v>
      </c>
      <c r="H158" s="3">
        <v>1000</v>
      </c>
      <c r="I158" s="3">
        <v>200</v>
      </c>
      <c r="J158" s="3" t="str">
        <f>_xlfn.CONCAT("Definition of id ",SecondLine[[#This Row],[ProductId]])</f>
        <v>Definition of id 256</v>
      </c>
    </row>
    <row r="159" spans="1:10">
      <c r="A159" s="5">
        <v>45014</v>
      </c>
      <c r="B159">
        <f>MONTH(SecondLine[[#This Row],[Date]])</f>
        <v>3</v>
      </c>
      <c r="C159" s="3" t="s">
        <v>0</v>
      </c>
      <c r="D159" s="3" t="s">
        <v>46</v>
      </c>
      <c r="E159" s="3" t="s">
        <v>50</v>
      </c>
      <c r="F159">
        <v>257</v>
      </c>
      <c r="G159">
        <v>30</v>
      </c>
      <c r="H159" s="3">
        <v>1000</v>
      </c>
      <c r="I159" s="3">
        <v>200</v>
      </c>
      <c r="J159" s="3" t="str">
        <f>_xlfn.CONCAT("Definition of id ",SecondLine[[#This Row],[ProductId]])</f>
        <v>Definition of id 257</v>
      </c>
    </row>
    <row r="160" spans="1:10">
      <c r="A160" s="5">
        <v>45014</v>
      </c>
      <c r="B160">
        <f>MONTH(SecondLine[[#This Row],[Date]])</f>
        <v>3</v>
      </c>
      <c r="C160" s="3" t="s">
        <v>1</v>
      </c>
      <c r="D160" s="3" t="s">
        <v>46</v>
      </c>
      <c r="E160" s="3" t="s">
        <v>50</v>
      </c>
      <c r="F160">
        <v>258</v>
      </c>
      <c r="G160">
        <v>30</v>
      </c>
      <c r="H160" s="3">
        <v>1000</v>
      </c>
      <c r="I160" s="3">
        <v>200</v>
      </c>
      <c r="J160" s="3" t="str">
        <f>_xlfn.CONCAT("Definition of id ",SecondLine[[#This Row],[ProductId]])</f>
        <v>Definition of id 258</v>
      </c>
    </row>
    <row r="161" spans="1:10">
      <c r="A161" s="5">
        <v>45014</v>
      </c>
      <c r="B161">
        <f>MONTH(SecondLine[[#This Row],[Date]])</f>
        <v>3</v>
      </c>
      <c r="C161" s="3" t="s">
        <v>1</v>
      </c>
      <c r="D161" s="3" t="s">
        <v>46</v>
      </c>
      <c r="E161" s="3" t="s">
        <v>50</v>
      </c>
      <c r="F161">
        <v>259</v>
      </c>
      <c r="G161">
        <v>30</v>
      </c>
      <c r="H161" s="3">
        <v>1000</v>
      </c>
      <c r="I161" s="3">
        <v>200</v>
      </c>
      <c r="J161" s="3" t="str">
        <f>_xlfn.CONCAT("Definition of id ",SecondLine[[#This Row],[ProductId]])</f>
        <v>Definition of id 259</v>
      </c>
    </row>
    <row r="162" spans="1:10">
      <c r="A162" s="5">
        <v>45016</v>
      </c>
      <c r="B162">
        <f>MONTH(SecondLine[[#This Row],[Date]])</f>
        <v>3</v>
      </c>
      <c r="C162" s="3" t="s">
        <v>3</v>
      </c>
      <c r="D162" s="3" t="s">
        <v>46</v>
      </c>
      <c r="E162" s="3" t="s">
        <v>50</v>
      </c>
      <c r="F162">
        <v>260</v>
      </c>
      <c r="G162">
        <v>20</v>
      </c>
      <c r="H162" s="3">
        <v>1000</v>
      </c>
      <c r="I162" s="3">
        <v>2500</v>
      </c>
      <c r="J162" s="3" t="str">
        <f>_xlfn.CONCAT("Definition of id ",SecondLine[[#This Row],[ProductId]])</f>
        <v>Definition of id 260</v>
      </c>
    </row>
    <row r="163" spans="1:10">
      <c r="A163" s="5">
        <v>45016</v>
      </c>
      <c r="B163">
        <f>MONTH(SecondLine[[#This Row],[Date]])</f>
        <v>3</v>
      </c>
      <c r="C163" s="3" t="s">
        <v>3</v>
      </c>
      <c r="D163" s="3" t="s">
        <v>46</v>
      </c>
      <c r="E163" s="3" t="s">
        <v>50</v>
      </c>
      <c r="F163">
        <v>261</v>
      </c>
      <c r="G163">
        <v>20</v>
      </c>
      <c r="H163" s="3">
        <v>1000</v>
      </c>
      <c r="I163" s="3">
        <v>2500</v>
      </c>
      <c r="J163" s="3" t="str">
        <f>_xlfn.CONCAT("Definition of id ",SecondLine[[#This Row],[ProductId]])</f>
        <v>Definition of id 261</v>
      </c>
    </row>
    <row r="164" spans="1:10">
      <c r="A164" s="5">
        <v>45016</v>
      </c>
      <c r="B164">
        <f>MONTH(SecondLine[[#This Row],[Date]])</f>
        <v>3</v>
      </c>
      <c r="C164" s="3" t="s">
        <v>0</v>
      </c>
      <c r="D164" s="3" t="s">
        <v>46</v>
      </c>
      <c r="E164" s="3" t="s">
        <v>50</v>
      </c>
      <c r="F164">
        <v>262</v>
      </c>
      <c r="G164">
        <v>20</v>
      </c>
      <c r="H164" s="3">
        <v>1000</v>
      </c>
      <c r="I164" s="3">
        <v>2500</v>
      </c>
      <c r="J164" s="3" t="str">
        <f>_xlfn.CONCAT("Definition of id ",SecondLine[[#This Row],[ProductId]])</f>
        <v>Definition of id 262</v>
      </c>
    </row>
    <row r="165" spans="1:10">
      <c r="A165" s="5">
        <v>45016</v>
      </c>
      <c r="B165">
        <f>MONTH(SecondLine[[#This Row],[Date]])</f>
        <v>3</v>
      </c>
      <c r="C165" s="3" t="s">
        <v>1</v>
      </c>
      <c r="D165" s="3" t="s">
        <v>47</v>
      </c>
      <c r="E165" s="3" t="s">
        <v>49</v>
      </c>
      <c r="F165">
        <v>263</v>
      </c>
      <c r="G165">
        <v>20</v>
      </c>
      <c r="H165" s="3">
        <v>1000</v>
      </c>
      <c r="I165" s="3">
        <v>2500</v>
      </c>
      <c r="J165" s="3" t="str">
        <f>_xlfn.CONCAT("Definition of id ",SecondLine[[#This Row],[ProductId]])</f>
        <v>Definition of id 263</v>
      </c>
    </row>
    <row r="166" spans="1:10">
      <c r="A166" s="5">
        <v>45018</v>
      </c>
      <c r="B166">
        <f>MONTH(SecondLine[[#This Row],[Date]])</f>
        <v>4</v>
      </c>
      <c r="C166" s="3" t="s">
        <v>3</v>
      </c>
      <c r="D166" s="3" t="s">
        <v>47</v>
      </c>
      <c r="E166" s="3" t="s">
        <v>49</v>
      </c>
      <c r="F166">
        <v>264</v>
      </c>
      <c r="G166">
        <v>5</v>
      </c>
      <c r="H166" s="3">
        <v>500</v>
      </c>
      <c r="I166" s="3">
        <v>1000</v>
      </c>
      <c r="J166" s="3" t="str">
        <f>_xlfn.CONCAT("Definition of id ",SecondLine[[#This Row],[ProductId]])</f>
        <v>Definition of id 264</v>
      </c>
    </row>
    <row r="167" spans="1:10">
      <c r="A167" s="5">
        <v>45018</v>
      </c>
      <c r="B167">
        <f>MONTH(SecondLine[[#This Row],[Date]])</f>
        <v>4</v>
      </c>
      <c r="C167" s="3" t="s">
        <v>0</v>
      </c>
      <c r="D167" s="3" t="s">
        <v>47</v>
      </c>
      <c r="E167" s="3" t="s">
        <v>49</v>
      </c>
      <c r="F167">
        <v>265</v>
      </c>
      <c r="G167">
        <v>5</v>
      </c>
      <c r="H167" s="3">
        <v>500</v>
      </c>
      <c r="I167" s="3">
        <v>1000</v>
      </c>
      <c r="J167" s="3" t="str">
        <f>_xlfn.CONCAT("Definition of id ",SecondLine[[#This Row],[ProductId]])</f>
        <v>Definition of id 265</v>
      </c>
    </row>
    <row r="168" spans="1:10">
      <c r="A168" s="5">
        <v>45018</v>
      </c>
      <c r="B168">
        <f>MONTH(SecondLine[[#This Row],[Date]])</f>
        <v>4</v>
      </c>
      <c r="C168" s="3" t="s">
        <v>1</v>
      </c>
      <c r="D168" t="s">
        <v>46</v>
      </c>
      <c r="E168" t="s">
        <v>50</v>
      </c>
      <c r="F168">
        <v>266</v>
      </c>
      <c r="G168">
        <v>5</v>
      </c>
      <c r="H168" s="3">
        <v>500</v>
      </c>
      <c r="I168" s="3">
        <v>1000</v>
      </c>
      <c r="J168" s="3" t="str">
        <f>_xlfn.CONCAT("Definition of id ",SecondLine[[#This Row],[ProductId]])</f>
        <v>Definition of id 266</v>
      </c>
    </row>
    <row r="169" spans="1:10">
      <c r="A169" s="5">
        <v>45018</v>
      </c>
      <c r="B169">
        <f>MONTH(SecondLine[[#This Row],[Date]])</f>
        <v>4</v>
      </c>
      <c r="C169" s="3" t="s">
        <v>3</v>
      </c>
      <c r="D169" t="s">
        <v>46</v>
      </c>
      <c r="E169" t="s">
        <v>50</v>
      </c>
      <c r="F169">
        <v>267</v>
      </c>
      <c r="G169">
        <v>5</v>
      </c>
      <c r="H169" s="3">
        <v>500</v>
      </c>
      <c r="I169" s="3">
        <v>1000</v>
      </c>
      <c r="J169" s="3" t="str">
        <f>_xlfn.CONCAT("Definition of id ",SecondLine[[#This Row],[ProductId]])</f>
        <v>Definition of id 267</v>
      </c>
    </row>
    <row r="170" spans="1:10">
      <c r="A170" s="5">
        <v>45020</v>
      </c>
      <c r="B170">
        <f>MONTH(SecondLine[[#This Row],[Date]])</f>
        <v>4</v>
      </c>
      <c r="C170" s="3" t="s">
        <v>0</v>
      </c>
      <c r="D170" t="s">
        <v>46</v>
      </c>
      <c r="E170" t="s">
        <v>50</v>
      </c>
      <c r="F170">
        <v>268</v>
      </c>
      <c r="G170">
        <v>30</v>
      </c>
      <c r="H170" s="3">
        <v>1000</v>
      </c>
      <c r="I170" s="3">
        <v>200</v>
      </c>
      <c r="J170" s="3" t="str">
        <f>_xlfn.CONCAT("Definition of id ",SecondLine[[#This Row],[ProductId]])</f>
        <v>Definition of id 268</v>
      </c>
    </row>
    <row r="171" spans="1:10">
      <c r="A171" s="5">
        <v>45020</v>
      </c>
      <c r="B171">
        <f>MONTH(SecondLine[[#This Row],[Date]])</f>
        <v>4</v>
      </c>
      <c r="C171" s="3" t="s">
        <v>1</v>
      </c>
      <c r="D171" t="s">
        <v>46</v>
      </c>
      <c r="E171" t="s">
        <v>50</v>
      </c>
      <c r="F171">
        <v>269</v>
      </c>
      <c r="G171">
        <v>30</v>
      </c>
      <c r="H171" s="3">
        <v>1000</v>
      </c>
      <c r="I171" s="3">
        <v>200</v>
      </c>
      <c r="J171" s="3" t="str">
        <f>_xlfn.CONCAT("Definition of id ",SecondLine[[#This Row],[ProductId]])</f>
        <v>Definition of id 269</v>
      </c>
    </row>
    <row r="172" spans="1:10">
      <c r="A172" s="5">
        <v>45020</v>
      </c>
      <c r="B172">
        <f>MONTH(SecondLine[[#This Row],[Date]])</f>
        <v>4</v>
      </c>
      <c r="C172" s="3" t="s">
        <v>3</v>
      </c>
      <c r="D172" t="s">
        <v>46</v>
      </c>
      <c r="E172" t="s">
        <v>50</v>
      </c>
      <c r="F172">
        <v>270</v>
      </c>
      <c r="G172">
        <v>30</v>
      </c>
      <c r="H172" s="3">
        <v>1000</v>
      </c>
      <c r="I172" s="3">
        <v>200</v>
      </c>
      <c r="J172" s="3" t="str">
        <f>_xlfn.CONCAT("Definition of id ",SecondLine[[#This Row],[ProductId]])</f>
        <v>Definition of id 270</v>
      </c>
    </row>
    <row r="173" spans="1:10">
      <c r="A173" s="5">
        <v>45020</v>
      </c>
      <c r="B173">
        <f>MONTH(SecondLine[[#This Row],[Date]])</f>
        <v>4</v>
      </c>
      <c r="C173" s="3" t="s">
        <v>0</v>
      </c>
      <c r="D173" t="s">
        <v>46</v>
      </c>
      <c r="E173" t="s">
        <v>50</v>
      </c>
      <c r="F173">
        <v>271</v>
      </c>
      <c r="G173">
        <v>30</v>
      </c>
      <c r="H173" s="3">
        <v>1000</v>
      </c>
      <c r="I173" s="3">
        <v>200</v>
      </c>
      <c r="J173" s="3" t="str">
        <f>_xlfn.CONCAT("Definition of id ",SecondLine[[#This Row],[ProductId]])</f>
        <v>Definition of id 271</v>
      </c>
    </row>
    <row r="174" spans="1:10">
      <c r="A174" s="5">
        <v>45022</v>
      </c>
      <c r="B174">
        <f>MONTH(SecondLine[[#This Row],[Date]])</f>
        <v>4</v>
      </c>
      <c r="C174" s="3" t="s">
        <v>1</v>
      </c>
      <c r="D174" t="s">
        <v>45</v>
      </c>
      <c r="E174" t="s">
        <v>48</v>
      </c>
      <c r="F174">
        <v>272</v>
      </c>
      <c r="G174">
        <v>30</v>
      </c>
      <c r="H174" s="3">
        <v>1000</v>
      </c>
      <c r="I174" s="3">
        <v>200</v>
      </c>
      <c r="J174" s="3" t="str">
        <f>_xlfn.CONCAT("Definition of id ",SecondLine[[#This Row],[ProductId]])</f>
        <v>Definition of id 272</v>
      </c>
    </row>
    <row r="175" spans="1:10">
      <c r="A175" s="5">
        <v>45022</v>
      </c>
      <c r="B175">
        <f>MONTH(SecondLine[[#This Row],[Date]])</f>
        <v>4</v>
      </c>
      <c r="C175" s="3" t="s">
        <v>3</v>
      </c>
      <c r="D175" t="s">
        <v>45</v>
      </c>
      <c r="E175" t="s">
        <v>48</v>
      </c>
      <c r="F175">
        <v>273</v>
      </c>
      <c r="G175">
        <v>30</v>
      </c>
      <c r="H175" s="3">
        <v>1000</v>
      </c>
      <c r="I175" s="3">
        <v>200</v>
      </c>
      <c r="J175" s="3" t="str">
        <f>_xlfn.CONCAT("Definition of id ",SecondLine[[#This Row],[ProductId]])</f>
        <v>Definition of id 273</v>
      </c>
    </row>
    <row r="176" spans="1:10">
      <c r="A176" s="5">
        <v>45022</v>
      </c>
      <c r="B176">
        <f>MONTH(SecondLine[[#This Row],[Date]])</f>
        <v>4</v>
      </c>
      <c r="C176" s="3" t="s">
        <v>0</v>
      </c>
      <c r="D176" t="s">
        <v>45</v>
      </c>
      <c r="E176" t="s">
        <v>48</v>
      </c>
      <c r="F176">
        <v>274</v>
      </c>
      <c r="G176">
        <v>30</v>
      </c>
      <c r="H176" s="3">
        <v>1000</v>
      </c>
      <c r="I176" s="3">
        <v>200</v>
      </c>
      <c r="J176" s="3" t="str">
        <f>_xlfn.CONCAT("Definition of id ",SecondLine[[#This Row],[ProductId]])</f>
        <v>Definition of id 274</v>
      </c>
    </row>
    <row r="177" spans="1:10">
      <c r="A177" s="5">
        <v>45022</v>
      </c>
      <c r="B177">
        <f>MONTH(SecondLine[[#This Row],[Date]])</f>
        <v>4</v>
      </c>
      <c r="C177" s="3" t="s">
        <v>0</v>
      </c>
      <c r="D177" t="s">
        <v>45</v>
      </c>
      <c r="E177" t="s">
        <v>48</v>
      </c>
      <c r="F177">
        <v>275</v>
      </c>
      <c r="G177">
        <v>30</v>
      </c>
      <c r="H177" s="3">
        <v>1000</v>
      </c>
      <c r="I177" s="3">
        <v>200</v>
      </c>
      <c r="J177" s="3" t="str">
        <f>_xlfn.CONCAT("Definition of id ",SecondLine[[#This Row],[ProductId]])</f>
        <v>Definition of id 275</v>
      </c>
    </row>
    <row r="178" spans="1:10">
      <c r="A178" s="5">
        <v>45024</v>
      </c>
      <c r="B178">
        <f>MONTH(SecondLine[[#This Row],[Date]])</f>
        <v>4</v>
      </c>
      <c r="C178" s="3" t="s">
        <v>1</v>
      </c>
      <c r="D178" t="s">
        <v>47</v>
      </c>
      <c r="E178" t="s">
        <v>49</v>
      </c>
      <c r="F178">
        <v>276</v>
      </c>
      <c r="G178">
        <v>30</v>
      </c>
      <c r="H178" s="3">
        <v>1000</v>
      </c>
      <c r="I178" s="3">
        <v>200</v>
      </c>
      <c r="J178" s="3" t="str">
        <f>_xlfn.CONCAT("Definition of id ",SecondLine[[#This Row],[ProductId]])</f>
        <v>Definition of id 276</v>
      </c>
    </row>
    <row r="179" spans="1:10">
      <c r="A179" s="5">
        <v>45024</v>
      </c>
      <c r="B179">
        <f>MONTH(SecondLine[[#This Row],[Date]])</f>
        <v>4</v>
      </c>
      <c r="C179" s="3" t="s">
        <v>1</v>
      </c>
      <c r="D179" t="s">
        <v>47</v>
      </c>
      <c r="E179" t="s">
        <v>49</v>
      </c>
      <c r="F179">
        <v>277</v>
      </c>
      <c r="G179">
        <v>30</v>
      </c>
      <c r="H179" s="3">
        <v>1000</v>
      </c>
      <c r="I179" s="3">
        <v>200</v>
      </c>
      <c r="J179" s="3" t="str">
        <f>_xlfn.CONCAT("Definition of id ",SecondLine[[#This Row],[ProductId]])</f>
        <v>Definition of id 277</v>
      </c>
    </row>
    <row r="180" spans="1:10">
      <c r="A180" s="5">
        <v>45024</v>
      </c>
      <c r="B180">
        <f>MONTH(SecondLine[[#This Row],[Date]])</f>
        <v>4</v>
      </c>
      <c r="C180" s="3" t="s">
        <v>3</v>
      </c>
      <c r="D180" t="s">
        <v>45</v>
      </c>
      <c r="E180" t="s">
        <v>48</v>
      </c>
      <c r="F180">
        <v>278</v>
      </c>
      <c r="G180">
        <v>30</v>
      </c>
      <c r="H180" s="3">
        <v>1000</v>
      </c>
      <c r="I180" s="3">
        <v>200</v>
      </c>
      <c r="J180" s="3" t="str">
        <f>_xlfn.CONCAT("Definition of id ",SecondLine[[#This Row],[ProductId]])</f>
        <v>Definition of id 278</v>
      </c>
    </row>
    <row r="181" spans="1:10">
      <c r="A181" s="5">
        <v>45024</v>
      </c>
      <c r="B181">
        <f>MONTH(SecondLine[[#This Row],[Date]])</f>
        <v>4</v>
      </c>
      <c r="C181" s="3" t="s">
        <v>3</v>
      </c>
      <c r="D181" t="s">
        <v>45</v>
      </c>
      <c r="E181" t="s">
        <v>48</v>
      </c>
      <c r="F181">
        <v>279</v>
      </c>
      <c r="G181">
        <v>30</v>
      </c>
      <c r="H181" s="3">
        <v>1000</v>
      </c>
      <c r="I181" s="3">
        <v>200</v>
      </c>
      <c r="J181" s="3" t="str">
        <f>_xlfn.CONCAT("Definition of id ",SecondLine[[#This Row],[ProductId]])</f>
        <v>Definition of id 279</v>
      </c>
    </row>
    <row r="182" spans="1:10">
      <c r="A182" s="5">
        <v>45026</v>
      </c>
      <c r="B182">
        <f>MONTH(SecondLine[[#This Row],[Date]])</f>
        <v>4</v>
      </c>
      <c r="C182" s="3" t="s">
        <v>0</v>
      </c>
      <c r="D182" t="s">
        <v>45</v>
      </c>
      <c r="E182" t="s">
        <v>48</v>
      </c>
      <c r="F182">
        <v>280</v>
      </c>
      <c r="G182">
        <v>30</v>
      </c>
      <c r="H182" s="3">
        <v>1000</v>
      </c>
      <c r="I182" s="3">
        <v>200</v>
      </c>
      <c r="J182" s="3" t="str">
        <f>_xlfn.CONCAT("Definition of id ",SecondLine[[#This Row],[ProductId]])</f>
        <v>Definition of id 280</v>
      </c>
    </row>
    <row r="183" spans="1:10">
      <c r="A183" s="5">
        <v>45026</v>
      </c>
      <c r="B183">
        <f>MONTH(SecondLine[[#This Row],[Date]])</f>
        <v>4</v>
      </c>
      <c r="C183" s="3" t="s">
        <v>1</v>
      </c>
      <c r="D183" t="s">
        <v>45</v>
      </c>
      <c r="E183" t="s">
        <v>48</v>
      </c>
      <c r="F183">
        <v>281</v>
      </c>
      <c r="G183">
        <v>30</v>
      </c>
      <c r="H183" s="3">
        <v>1000</v>
      </c>
      <c r="I183" s="3">
        <v>200</v>
      </c>
      <c r="J183" s="3" t="str">
        <f>_xlfn.CONCAT("Definition of id ",SecondLine[[#This Row],[ProductId]])</f>
        <v>Definition of id 281</v>
      </c>
    </row>
    <row r="184" spans="1:10">
      <c r="A184" s="5">
        <v>45026</v>
      </c>
      <c r="B184">
        <f>MONTH(SecondLine[[#This Row],[Date]])</f>
        <v>4</v>
      </c>
      <c r="C184" s="3" t="s">
        <v>3</v>
      </c>
      <c r="D184" t="s">
        <v>45</v>
      </c>
      <c r="E184" t="s">
        <v>48</v>
      </c>
      <c r="F184">
        <v>282</v>
      </c>
      <c r="G184">
        <v>20</v>
      </c>
      <c r="H184" s="3">
        <v>1000</v>
      </c>
      <c r="I184" s="3">
        <v>2500</v>
      </c>
      <c r="J184" s="3" t="str">
        <f>_xlfn.CONCAT("Definition of id ",SecondLine[[#This Row],[ProductId]])</f>
        <v>Definition of id 282</v>
      </c>
    </row>
    <row r="185" spans="1:10">
      <c r="A185" s="5">
        <v>45026</v>
      </c>
      <c r="B185">
        <f>MONTH(SecondLine[[#This Row],[Date]])</f>
        <v>4</v>
      </c>
      <c r="C185" s="3" t="s">
        <v>0</v>
      </c>
      <c r="D185" t="s">
        <v>45</v>
      </c>
      <c r="E185" t="s">
        <v>48</v>
      </c>
      <c r="F185">
        <v>283</v>
      </c>
      <c r="G185">
        <v>20</v>
      </c>
      <c r="H185" s="3">
        <v>1000</v>
      </c>
      <c r="I185" s="3">
        <v>2500</v>
      </c>
      <c r="J185" s="3" t="str">
        <f>_xlfn.CONCAT("Definition of id ",SecondLine[[#This Row],[ProductId]])</f>
        <v>Definition of id 283</v>
      </c>
    </row>
    <row r="186" spans="1:10">
      <c r="A186" s="5">
        <v>45028</v>
      </c>
      <c r="B186">
        <f>MONTH(SecondLine[[#This Row],[Date]])</f>
        <v>4</v>
      </c>
      <c r="C186" s="3" t="s">
        <v>1</v>
      </c>
      <c r="D186" t="s">
        <v>45</v>
      </c>
      <c r="E186" t="s">
        <v>48</v>
      </c>
      <c r="F186">
        <v>284</v>
      </c>
      <c r="G186">
        <v>20</v>
      </c>
      <c r="H186" s="3">
        <v>1000</v>
      </c>
      <c r="I186" s="3">
        <v>2500</v>
      </c>
      <c r="J186" s="3" t="str">
        <f>_xlfn.CONCAT("Definition of id ",SecondLine[[#This Row],[ProductId]])</f>
        <v>Definition of id 284</v>
      </c>
    </row>
    <row r="187" spans="1:10">
      <c r="A187" s="5">
        <v>45028</v>
      </c>
      <c r="B187">
        <f>MONTH(SecondLine[[#This Row],[Date]])</f>
        <v>4</v>
      </c>
      <c r="C187" s="3" t="s">
        <v>3</v>
      </c>
      <c r="D187" t="s">
        <v>45</v>
      </c>
      <c r="E187" t="s">
        <v>48</v>
      </c>
      <c r="F187">
        <v>285</v>
      </c>
      <c r="G187">
        <v>20</v>
      </c>
      <c r="H187" s="3">
        <v>1000</v>
      </c>
      <c r="I187" s="3">
        <v>2500</v>
      </c>
      <c r="J187" s="3" t="str">
        <f>_xlfn.CONCAT("Definition of id ",SecondLine[[#This Row],[ProductId]])</f>
        <v>Definition of id 285</v>
      </c>
    </row>
    <row r="188" spans="1:10">
      <c r="A188" s="5">
        <v>45028</v>
      </c>
      <c r="B188">
        <f>MONTH(SecondLine[[#This Row],[Date]])</f>
        <v>4</v>
      </c>
      <c r="C188" s="3" t="s">
        <v>0</v>
      </c>
      <c r="D188" t="s">
        <v>46</v>
      </c>
      <c r="E188" t="s">
        <v>50</v>
      </c>
      <c r="F188">
        <v>286</v>
      </c>
      <c r="G188">
        <v>5</v>
      </c>
      <c r="H188" s="3">
        <v>500</v>
      </c>
      <c r="I188" s="3">
        <v>1000</v>
      </c>
      <c r="J188" s="3" t="str">
        <f>_xlfn.CONCAT("Definition of id ",SecondLine[[#This Row],[ProductId]])</f>
        <v>Definition of id 286</v>
      </c>
    </row>
    <row r="189" spans="1:10">
      <c r="A189" s="5">
        <v>45028</v>
      </c>
      <c r="B189">
        <f>MONTH(SecondLine[[#This Row],[Date]])</f>
        <v>4</v>
      </c>
      <c r="C189" s="3" t="s">
        <v>1</v>
      </c>
      <c r="D189" t="s">
        <v>46</v>
      </c>
      <c r="E189" t="s">
        <v>50</v>
      </c>
      <c r="F189">
        <v>287</v>
      </c>
      <c r="G189">
        <v>5</v>
      </c>
      <c r="H189" s="3">
        <v>500</v>
      </c>
      <c r="I189" s="3">
        <v>1000</v>
      </c>
      <c r="J189" s="3" t="str">
        <f>_xlfn.CONCAT("Definition of id ",SecondLine[[#This Row],[ProductId]])</f>
        <v>Definition of id 287</v>
      </c>
    </row>
    <row r="190" spans="1:10">
      <c r="A190" s="5">
        <v>45030</v>
      </c>
      <c r="B190">
        <f>MONTH(SecondLine[[#This Row],[Date]])</f>
        <v>4</v>
      </c>
      <c r="C190" s="3" t="s">
        <v>3</v>
      </c>
      <c r="D190" t="s">
        <v>45</v>
      </c>
      <c r="E190" t="s">
        <v>48</v>
      </c>
      <c r="F190">
        <v>288</v>
      </c>
      <c r="G190">
        <v>5</v>
      </c>
      <c r="H190" s="3">
        <v>500</v>
      </c>
      <c r="I190" s="3">
        <v>1000</v>
      </c>
      <c r="J190" s="3" t="str">
        <f>_xlfn.CONCAT("Definition of id ",SecondLine[[#This Row],[ProductId]])</f>
        <v>Definition of id 288</v>
      </c>
    </row>
    <row r="191" spans="1:10">
      <c r="A191" s="5">
        <v>45030</v>
      </c>
      <c r="B191">
        <f>MONTH(SecondLine[[#This Row],[Date]])</f>
        <v>4</v>
      </c>
      <c r="C191" s="3" t="s">
        <v>0</v>
      </c>
      <c r="D191" t="s">
        <v>45</v>
      </c>
      <c r="E191" t="s">
        <v>48</v>
      </c>
      <c r="F191">
        <v>289</v>
      </c>
      <c r="G191">
        <v>5</v>
      </c>
      <c r="H191" s="3">
        <v>500</v>
      </c>
      <c r="I191" s="3">
        <v>1000</v>
      </c>
      <c r="J191" s="3" t="str">
        <f>_xlfn.CONCAT("Definition of id ",SecondLine[[#This Row],[ProductId]])</f>
        <v>Definition of id 289</v>
      </c>
    </row>
    <row r="192" spans="1:10">
      <c r="A192" s="5">
        <v>45030</v>
      </c>
      <c r="B192">
        <f>MONTH(SecondLine[[#This Row],[Date]])</f>
        <v>4</v>
      </c>
      <c r="C192" s="3" t="s">
        <v>1</v>
      </c>
      <c r="D192" t="s">
        <v>45</v>
      </c>
      <c r="E192" t="s">
        <v>48</v>
      </c>
      <c r="F192">
        <v>290</v>
      </c>
      <c r="G192">
        <v>30</v>
      </c>
      <c r="H192" s="3">
        <v>1000</v>
      </c>
      <c r="I192" s="3">
        <v>200</v>
      </c>
      <c r="J192" s="3" t="str">
        <f>_xlfn.CONCAT("Definition of id ",SecondLine[[#This Row],[ProductId]])</f>
        <v>Definition of id 290</v>
      </c>
    </row>
    <row r="193" spans="1:10">
      <c r="A193" s="5">
        <v>45030</v>
      </c>
      <c r="B193">
        <f>MONTH(SecondLine[[#This Row],[Date]])</f>
        <v>4</v>
      </c>
      <c r="C193" s="3" t="s">
        <v>3</v>
      </c>
      <c r="D193" t="s">
        <v>45</v>
      </c>
      <c r="E193" t="s">
        <v>48</v>
      </c>
      <c r="F193">
        <v>291</v>
      </c>
      <c r="G193">
        <v>30</v>
      </c>
      <c r="H193" s="3">
        <v>1000</v>
      </c>
      <c r="I193" s="3">
        <v>200</v>
      </c>
      <c r="J193" s="3" t="str">
        <f>_xlfn.CONCAT("Definition of id ",SecondLine[[#This Row],[ProductId]])</f>
        <v>Definition of id 291</v>
      </c>
    </row>
    <row r="194" spans="1:10">
      <c r="A194" s="5">
        <v>45032</v>
      </c>
      <c r="B194">
        <f>MONTH(SecondLine[[#This Row],[Date]])</f>
        <v>4</v>
      </c>
      <c r="C194" s="3" t="s">
        <v>0</v>
      </c>
      <c r="D194" t="s">
        <v>45</v>
      </c>
      <c r="E194" t="s">
        <v>48</v>
      </c>
      <c r="F194">
        <v>292</v>
      </c>
      <c r="G194">
        <v>30</v>
      </c>
      <c r="H194" s="3">
        <v>1000</v>
      </c>
      <c r="I194" s="3">
        <v>200</v>
      </c>
      <c r="J194" s="3" t="str">
        <f>_xlfn.CONCAT("Definition of id ",SecondLine[[#This Row],[ProductId]])</f>
        <v>Definition of id 292</v>
      </c>
    </row>
    <row r="195" spans="1:10">
      <c r="A195" s="5">
        <v>45032</v>
      </c>
      <c r="B195">
        <f>MONTH(SecondLine[[#This Row],[Date]])</f>
        <v>4</v>
      </c>
      <c r="C195" s="3" t="s">
        <v>0</v>
      </c>
      <c r="D195" t="s">
        <v>45</v>
      </c>
      <c r="E195" t="s">
        <v>48</v>
      </c>
      <c r="F195">
        <v>293</v>
      </c>
      <c r="G195">
        <v>30</v>
      </c>
      <c r="H195" s="3">
        <v>1000</v>
      </c>
      <c r="I195" s="3">
        <v>200</v>
      </c>
      <c r="J195" s="3" t="str">
        <f>_xlfn.CONCAT("Definition of id ",SecondLine[[#This Row],[ProductId]])</f>
        <v>Definition of id 293</v>
      </c>
    </row>
    <row r="196" spans="1:10">
      <c r="A196" s="5">
        <v>45032</v>
      </c>
      <c r="B196">
        <f>MONTH(SecondLine[[#This Row],[Date]])</f>
        <v>4</v>
      </c>
      <c r="C196" s="3" t="s">
        <v>1</v>
      </c>
      <c r="D196" t="s">
        <v>45</v>
      </c>
      <c r="E196" t="s">
        <v>48</v>
      </c>
      <c r="F196">
        <v>294</v>
      </c>
      <c r="G196">
        <v>30</v>
      </c>
      <c r="H196" s="3">
        <v>1000</v>
      </c>
      <c r="I196" s="3">
        <v>200</v>
      </c>
      <c r="J196" s="3" t="str">
        <f>_xlfn.CONCAT("Definition of id ",SecondLine[[#This Row],[ProductId]])</f>
        <v>Definition of id 294</v>
      </c>
    </row>
    <row r="197" spans="1:10">
      <c r="A197" s="5">
        <v>45032</v>
      </c>
      <c r="B197">
        <f>MONTH(SecondLine[[#This Row],[Date]])</f>
        <v>4</v>
      </c>
      <c r="C197" s="3" t="s">
        <v>1</v>
      </c>
      <c r="D197" s="3" t="s">
        <v>46</v>
      </c>
      <c r="E197" s="3" t="s">
        <v>50</v>
      </c>
      <c r="F197">
        <v>295</v>
      </c>
      <c r="G197">
        <v>30</v>
      </c>
      <c r="H197" s="3">
        <v>1000</v>
      </c>
      <c r="I197" s="3">
        <v>200</v>
      </c>
      <c r="J197" s="3" t="str">
        <f>_xlfn.CONCAT("Definition of id ",SecondLine[[#This Row],[ProductId]])</f>
        <v>Definition of id 295</v>
      </c>
    </row>
    <row r="198" spans="1:10">
      <c r="A198" s="5">
        <v>45034</v>
      </c>
      <c r="B198">
        <f>MONTH(SecondLine[[#This Row],[Date]])</f>
        <v>4</v>
      </c>
      <c r="C198" s="3" t="s">
        <v>3</v>
      </c>
      <c r="D198" s="3" t="s">
        <v>46</v>
      </c>
      <c r="E198" s="3" t="s">
        <v>50</v>
      </c>
      <c r="F198">
        <v>296</v>
      </c>
      <c r="G198">
        <v>30</v>
      </c>
      <c r="H198" s="3">
        <v>1000</v>
      </c>
      <c r="I198" s="3">
        <v>200</v>
      </c>
      <c r="J198" s="3" t="str">
        <f>_xlfn.CONCAT("Definition of id ",SecondLine[[#This Row],[ProductId]])</f>
        <v>Definition of id 296</v>
      </c>
    </row>
    <row r="199" spans="1:10">
      <c r="A199" s="5">
        <v>45034</v>
      </c>
      <c r="B199">
        <f>MONTH(SecondLine[[#This Row],[Date]])</f>
        <v>4</v>
      </c>
      <c r="C199" s="3" t="s">
        <v>3</v>
      </c>
      <c r="D199" s="3" t="s">
        <v>46</v>
      </c>
      <c r="E199" s="3" t="s">
        <v>50</v>
      </c>
      <c r="F199">
        <v>297</v>
      </c>
      <c r="G199">
        <v>20</v>
      </c>
      <c r="H199" s="3">
        <v>1000</v>
      </c>
      <c r="I199" s="3">
        <v>2500</v>
      </c>
      <c r="J199" s="3" t="str">
        <f>_xlfn.CONCAT("Definition of id ",SecondLine[[#This Row],[ProductId]])</f>
        <v>Definition of id 297</v>
      </c>
    </row>
    <row r="200" spans="1:10">
      <c r="A200" s="5">
        <v>45034</v>
      </c>
      <c r="B200">
        <f>MONTH(SecondLine[[#This Row],[Date]])</f>
        <v>4</v>
      </c>
      <c r="C200" s="3" t="s">
        <v>0</v>
      </c>
      <c r="D200" s="3" t="s">
        <v>46</v>
      </c>
      <c r="E200" s="3" t="s">
        <v>50</v>
      </c>
      <c r="F200">
        <v>298</v>
      </c>
      <c r="G200">
        <v>5</v>
      </c>
      <c r="H200" s="3">
        <v>500</v>
      </c>
      <c r="I200" s="3">
        <v>1000</v>
      </c>
      <c r="J200" s="3" t="str">
        <f>_xlfn.CONCAT("Definition of id ",SecondLine[[#This Row],[ProductId]])</f>
        <v>Definition of id 298</v>
      </c>
    </row>
    <row r="201" spans="1:10">
      <c r="A201" s="5">
        <v>45034</v>
      </c>
      <c r="B201">
        <f>MONTH(SecondLine[[#This Row],[Date]])</f>
        <v>4</v>
      </c>
      <c r="C201" s="3" t="s">
        <v>1</v>
      </c>
      <c r="D201" s="3" t="s">
        <v>46</v>
      </c>
      <c r="E201" s="3" t="s">
        <v>50</v>
      </c>
      <c r="F201">
        <v>299</v>
      </c>
      <c r="G201">
        <v>5</v>
      </c>
      <c r="H201" s="3">
        <v>500</v>
      </c>
      <c r="I201" s="3">
        <v>1000</v>
      </c>
      <c r="J201" s="3" t="str">
        <f>_xlfn.CONCAT("Definition of id ",SecondLine[[#This Row],[ProductId]])</f>
        <v>Definition of id 299</v>
      </c>
    </row>
    <row r="202" spans="1:10">
      <c r="A202" s="5">
        <v>45036</v>
      </c>
      <c r="B202">
        <f>MONTH(SecondLine[[#This Row],[Date]])</f>
        <v>4</v>
      </c>
      <c r="C202" s="3" t="s">
        <v>3</v>
      </c>
      <c r="D202" s="3" t="s">
        <v>46</v>
      </c>
      <c r="E202" s="3" t="s">
        <v>50</v>
      </c>
      <c r="F202">
        <v>300</v>
      </c>
      <c r="G202">
        <v>5</v>
      </c>
      <c r="H202" s="3">
        <v>500</v>
      </c>
      <c r="I202" s="3">
        <v>1000</v>
      </c>
      <c r="J202" s="3" t="str">
        <f>_xlfn.CONCAT("Definition of id ",SecondLine[[#This Row],[ProductId]])</f>
        <v>Definition of id 300</v>
      </c>
    </row>
    <row r="203" spans="1:10">
      <c r="A203" s="5">
        <v>45036</v>
      </c>
      <c r="B203">
        <f>MONTH(SecondLine[[#This Row],[Date]])</f>
        <v>4</v>
      </c>
      <c r="C203" s="3" t="s">
        <v>0</v>
      </c>
      <c r="D203" s="3" t="s">
        <v>47</v>
      </c>
      <c r="E203" s="3" t="s">
        <v>49</v>
      </c>
      <c r="F203">
        <v>301</v>
      </c>
      <c r="G203">
        <v>5</v>
      </c>
      <c r="H203" s="3">
        <v>500</v>
      </c>
      <c r="I203" s="3">
        <v>1000</v>
      </c>
      <c r="J203" s="3" t="str">
        <f>_xlfn.CONCAT("Definition of id ",SecondLine[[#This Row],[ProductId]])</f>
        <v>Definition of id 301</v>
      </c>
    </row>
    <row r="204" spans="1:10">
      <c r="A204" s="5">
        <v>45036</v>
      </c>
      <c r="B204">
        <f>MONTH(SecondLine[[#This Row],[Date]])</f>
        <v>4</v>
      </c>
      <c r="C204" s="3" t="s">
        <v>1</v>
      </c>
      <c r="D204" s="3" t="s">
        <v>47</v>
      </c>
      <c r="E204" s="3" t="s">
        <v>49</v>
      </c>
      <c r="F204">
        <v>302</v>
      </c>
      <c r="G204">
        <v>30</v>
      </c>
      <c r="H204" s="3">
        <v>1000</v>
      </c>
      <c r="I204" s="3">
        <v>200</v>
      </c>
      <c r="J204" s="3" t="str">
        <f>_xlfn.CONCAT("Definition of id ",SecondLine[[#This Row],[ProductId]])</f>
        <v>Definition of id 302</v>
      </c>
    </row>
    <row r="205" spans="1:10">
      <c r="A205" s="5">
        <v>45036</v>
      </c>
      <c r="B205">
        <f>MONTH(SecondLine[[#This Row],[Date]])</f>
        <v>4</v>
      </c>
      <c r="C205" s="3" t="s">
        <v>3</v>
      </c>
      <c r="D205" s="3" t="s">
        <v>47</v>
      </c>
      <c r="E205" s="3" t="s">
        <v>49</v>
      </c>
      <c r="F205">
        <v>303</v>
      </c>
      <c r="G205">
        <v>30</v>
      </c>
      <c r="H205" s="3">
        <v>1000</v>
      </c>
      <c r="I205" s="3">
        <v>200</v>
      </c>
      <c r="J205" s="3" t="str">
        <f>_xlfn.CONCAT("Definition of id ",SecondLine[[#This Row],[ProductId]])</f>
        <v>Definition of id 303</v>
      </c>
    </row>
    <row r="206" spans="1:10">
      <c r="A206" s="5">
        <v>45038</v>
      </c>
      <c r="B206">
        <f>MONTH(SecondLine[[#This Row],[Date]])</f>
        <v>4</v>
      </c>
      <c r="C206" s="3" t="s">
        <v>0</v>
      </c>
      <c r="D206" t="s">
        <v>46</v>
      </c>
      <c r="E206" t="s">
        <v>50</v>
      </c>
      <c r="F206">
        <v>304</v>
      </c>
      <c r="G206">
        <v>30</v>
      </c>
      <c r="H206" s="3">
        <v>1000</v>
      </c>
      <c r="I206" s="3">
        <v>200</v>
      </c>
      <c r="J206" s="3" t="str">
        <f>_xlfn.CONCAT("Definition of id ",SecondLine[[#This Row],[ProductId]])</f>
        <v>Definition of id 304</v>
      </c>
    </row>
    <row r="207" spans="1:10">
      <c r="A207" s="5">
        <v>45038</v>
      </c>
      <c r="B207">
        <f>MONTH(SecondLine[[#This Row],[Date]])</f>
        <v>4</v>
      </c>
      <c r="C207" s="3" t="s">
        <v>1</v>
      </c>
      <c r="D207" t="s">
        <v>46</v>
      </c>
      <c r="E207" t="s">
        <v>50</v>
      </c>
      <c r="F207">
        <v>305</v>
      </c>
      <c r="G207">
        <v>30</v>
      </c>
      <c r="H207" s="3">
        <v>1000</v>
      </c>
      <c r="I207" s="3">
        <v>200</v>
      </c>
      <c r="J207" s="3" t="str">
        <f>_xlfn.CONCAT("Definition of id ",SecondLine[[#This Row],[ProductId]])</f>
        <v>Definition of id 305</v>
      </c>
    </row>
    <row r="208" spans="1:10">
      <c r="A208" s="5">
        <v>45038</v>
      </c>
      <c r="B208">
        <f>MONTH(SecondLine[[#This Row],[Date]])</f>
        <v>4</v>
      </c>
      <c r="C208" s="3" t="s">
        <v>3</v>
      </c>
      <c r="D208" t="s">
        <v>46</v>
      </c>
      <c r="E208" t="s">
        <v>50</v>
      </c>
      <c r="F208">
        <v>306</v>
      </c>
      <c r="G208">
        <v>20</v>
      </c>
      <c r="H208" s="3">
        <v>1000</v>
      </c>
      <c r="I208" s="3">
        <v>2500</v>
      </c>
      <c r="J208" s="3" t="str">
        <f>_xlfn.CONCAT("Definition of id ",SecondLine[[#This Row],[ProductId]])</f>
        <v>Definition of id 306</v>
      </c>
    </row>
    <row r="209" spans="1:10">
      <c r="A209" s="5">
        <v>45038</v>
      </c>
      <c r="B209">
        <f>MONTH(SecondLine[[#This Row],[Date]])</f>
        <v>4</v>
      </c>
      <c r="C209" s="3" t="s">
        <v>0</v>
      </c>
      <c r="D209" t="s">
        <v>46</v>
      </c>
      <c r="E209" t="s">
        <v>50</v>
      </c>
      <c r="F209">
        <v>307</v>
      </c>
      <c r="G209">
        <v>5</v>
      </c>
      <c r="H209" s="3">
        <v>500</v>
      </c>
      <c r="I209" s="3">
        <v>1000</v>
      </c>
      <c r="J209" s="3" t="str">
        <f>_xlfn.CONCAT("Definition of id ",SecondLine[[#This Row],[ProductId]])</f>
        <v>Definition of id 307</v>
      </c>
    </row>
    <row r="210" spans="1:10">
      <c r="A210" s="5">
        <v>45040</v>
      </c>
      <c r="B210">
        <f>MONTH(SecondLine[[#This Row],[Date]])</f>
        <v>4</v>
      </c>
      <c r="C210" s="3" t="s">
        <v>1</v>
      </c>
      <c r="D210" t="s">
        <v>46</v>
      </c>
      <c r="E210" t="s">
        <v>50</v>
      </c>
      <c r="F210">
        <v>308</v>
      </c>
      <c r="G210">
        <v>5</v>
      </c>
      <c r="H210" s="3">
        <v>500</v>
      </c>
      <c r="I210" s="3">
        <v>1000</v>
      </c>
      <c r="J210" s="3" t="str">
        <f>_xlfn.CONCAT("Definition of id ",SecondLine[[#This Row],[ProductId]])</f>
        <v>Definition of id 308</v>
      </c>
    </row>
    <row r="211" spans="1:10">
      <c r="A211" s="5">
        <v>45040</v>
      </c>
      <c r="B211">
        <f>MONTH(SecondLine[[#This Row],[Date]])</f>
        <v>4</v>
      </c>
      <c r="C211" s="3" t="s">
        <v>3</v>
      </c>
      <c r="D211" t="s">
        <v>46</v>
      </c>
      <c r="E211" t="s">
        <v>50</v>
      </c>
      <c r="F211">
        <v>309</v>
      </c>
      <c r="G211">
        <v>5</v>
      </c>
      <c r="H211" s="3">
        <v>500</v>
      </c>
      <c r="I211" s="3">
        <v>1000</v>
      </c>
      <c r="J211" s="3" t="str">
        <f>_xlfn.CONCAT("Definition of id ",SecondLine[[#This Row],[ProductId]])</f>
        <v>Definition of id 309</v>
      </c>
    </row>
    <row r="212" spans="1:10">
      <c r="A212" s="5">
        <v>45040</v>
      </c>
      <c r="B212">
        <f>MONTH(SecondLine[[#This Row],[Date]])</f>
        <v>4</v>
      </c>
      <c r="C212" s="3" t="s">
        <v>0</v>
      </c>
      <c r="D212" t="s">
        <v>45</v>
      </c>
      <c r="E212" t="s">
        <v>48</v>
      </c>
      <c r="F212">
        <v>310</v>
      </c>
      <c r="G212">
        <v>5</v>
      </c>
      <c r="H212" s="3">
        <v>500</v>
      </c>
      <c r="I212" s="3">
        <v>1000</v>
      </c>
      <c r="J212" s="3" t="str">
        <f>_xlfn.CONCAT("Definition of id ",SecondLine[[#This Row],[ProductId]])</f>
        <v>Definition of id 310</v>
      </c>
    </row>
    <row r="213" spans="1:10">
      <c r="A213" s="5">
        <v>45040</v>
      </c>
      <c r="B213">
        <f>MONTH(SecondLine[[#This Row],[Date]])</f>
        <v>4</v>
      </c>
      <c r="C213" s="3" t="s">
        <v>0</v>
      </c>
      <c r="D213" t="s">
        <v>45</v>
      </c>
      <c r="E213" t="s">
        <v>48</v>
      </c>
      <c r="F213">
        <v>311</v>
      </c>
      <c r="G213">
        <v>30</v>
      </c>
      <c r="H213" s="3">
        <v>1000</v>
      </c>
      <c r="I213" s="3">
        <v>200</v>
      </c>
      <c r="J213" s="3" t="str">
        <f>_xlfn.CONCAT("Definition of id ",SecondLine[[#This Row],[ProductId]])</f>
        <v>Definition of id 311</v>
      </c>
    </row>
    <row r="214" spans="1:10">
      <c r="A214" s="5">
        <v>45042</v>
      </c>
      <c r="B214">
        <f>MONTH(SecondLine[[#This Row],[Date]])</f>
        <v>4</v>
      </c>
      <c r="C214" s="3" t="s">
        <v>1</v>
      </c>
      <c r="D214" t="s">
        <v>45</v>
      </c>
      <c r="E214" t="s">
        <v>48</v>
      </c>
      <c r="F214">
        <v>312</v>
      </c>
      <c r="G214">
        <v>5</v>
      </c>
      <c r="H214" s="3">
        <v>500</v>
      </c>
      <c r="I214" s="3">
        <v>1000</v>
      </c>
      <c r="J214" s="3" t="str">
        <f>_xlfn.CONCAT("Definition of id ",SecondLine[[#This Row],[ProductId]])</f>
        <v>Definition of id 312</v>
      </c>
    </row>
    <row r="215" spans="1:10">
      <c r="A215" s="5">
        <v>45042</v>
      </c>
      <c r="B215">
        <f>MONTH(SecondLine[[#This Row],[Date]])</f>
        <v>4</v>
      </c>
      <c r="C215" s="3" t="s">
        <v>1</v>
      </c>
      <c r="D215" t="s">
        <v>45</v>
      </c>
      <c r="E215" t="s">
        <v>48</v>
      </c>
      <c r="F215">
        <v>313</v>
      </c>
      <c r="G215">
        <v>5</v>
      </c>
      <c r="H215" s="3">
        <v>500</v>
      </c>
      <c r="I215" s="3">
        <v>1000</v>
      </c>
      <c r="J215" s="3" t="str">
        <f>_xlfn.CONCAT("Definition of id ",SecondLine[[#This Row],[ProductId]])</f>
        <v>Definition of id 313</v>
      </c>
    </row>
    <row r="216" spans="1:10">
      <c r="A216" s="5">
        <v>45042</v>
      </c>
      <c r="B216">
        <f>MONTH(SecondLine[[#This Row],[Date]])</f>
        <v>4</v>
      </c>
      <c r="C216" s="3" t="s">
        <v>3</v>
      </c>
      <c r="D216" t="s">
        <v>47</v>
      </c>
      <c r="E216" t="s">
        <v>49</v>
      </c>
      <c r="F216">
        <v>314</v>
      </c>
      <c r="G216">
        <v>30</v>
      </c>
      <c r="H216" s="3">
        <v>1000</v>
      </c>
      <c r="I216" s="3">
        <v>200</v>
      </c>
      <c r="J216" s="3" t="str">
        <f>_xlfn.CONCAT("Definition of id ",SecondLine[[#This Row],[ProductId]])</f>
        <v>Definition of id 314</v>
      </c>
    </row>
    <row r="217" spans="1:10">
      <c r="A217" s="5">
        <v>45042</v>
      </c>
      <c r="B217">
        <f>MONTH(SecondLine[[#This Row],[Date]])</f>
        <v>4</v>
      </c>
      <c r="C217" s="3" t="s">
        <v>3</v>
      </c>
      <c r="D217" t="s">
        <v>47</v>
      </c>
      <c r="E217" t="s">
        <v>49</v>
      </c>
      <c r="F217">
        <v>315</v>
      </c>
      <c r="G217">
        <v>30</v>
      </c>
      <c r="H217" s="3">
        <v>1000</v>
      </c>
      <c r="I217" s="3">
        <v>200</v>
      </c>
      <c r="J217" s="3" t="str">
        <f>_xlfn.CONCAT("Definition of id ",SecondLine[[#This Row],[ProductId]])</f>
        <v>Definition of id 315</v>
      </c>
    </row>
    <row r="218" spans="1:10">
      <c r="A218" s="5">
        <v>45044</v>
      </c>
      <c r="B218">
        <f>MONTH(SecondLine[[#This Row],[Date]])</f>
        <v>4</v>
      </c>
      <c r="C218" s="3" t="s">
        <v>0</v>
      </c>
      <c r="D218" t="s">
        <v>45</v>
      </c>
      <c r="E218" t="s">
        <v>48</v>
      </c>
      <c r="F218">
        <v>316</v>
      </c>
      <c r="G218">
        <v>30</v>
      </c>
      <c r="H218" s="3">
        <v>1000</v>
      </c>
      <c r="I218" s="3">
        <v>200</v>
      </c>
      <c r="J218" s="3" t="str">
        <f>_xlfn.CONCAT("Definition of id ",SecondLine[[#This Row],[ProductId]])</f>
        <v>Definition of id 316</v>
      </c>
    </row>
    <row r="219" spans="1:10">
      <c r="A219" s="5">
        <v>45044</v>
      </c>
      <c r="B219">
        <f>MONTH(SecondLine[[#This Row],[Date]])</f>
        <v>4</v>
      </c>
      <c r="C219" s="3" t="s">
        <v>1</v>
      </c>
      <c r="D219" t="s">
        <v>45</v>
      </c>
      <c r="E219" t="s">
        <v>48</v>
      </c>
      <c r="F219">
        <v>317</v>
      </c>
      <c r="G219">
        <v>30</v>
      </c>
      <c r="H219" s="3">
        <v>1000</v>
      </c>
      <c r="I219" s="3">
        <v>200</v>
      </c>
      <c r="J219" s="3" t="str">
        <f>_xlfn.CONCAT("Definition of id ",SecondLine[[#This Row],[ProductId]])</f>
        <v>Definition of id 317</v>
      </c>
    </row>
    <row r="220" spans="1:10">
      <c r="A220" s="5">
        <v>45044</v>
      </c>
      <c r="B220">
        <f>MONTH(SecondLine[[#This Row],[Date]])</f>
        <v>4</v>
      </c>
      <c r="C220" s="3" t="s">
        <v>3</v>
      </c>
      <c r="D220" t="s">
        <v>45</v>
      </c>
      <c r="E220" t="s">
        <v>48</v>
      </c>
      <c r="F220">
        <v>318</v>
      </c>
      <c r="G220">
        <v>30</v>
      </c>
      <c r="H220" s="3">
        <v>1000</v>
      </c>
      <c r="I220" s="3">
        <v>200</v>
      </c>
      <c r="J220" s="3" t="str">
        <f>_xlfn.CONCAT("Definition of id ",SecondLine[[#This Row],[ProductId]])</f>
        <v>Definition of id 318</v>
      </c>
    </row>
    <row r="221" spans="1:10">
      <c r="A221" s="5">
        <v>45044</v>
      </c>
      <c r="B221">
        <f>MONTH(SecondLine[[#This Row],[Date]])</f>
        <v>4</v>
      </c>
      <c r="C221" s="3" t="s">
        <v>0</v>
      </c>
      <c r="D221" t="s">
        <v>45</v>
      </c>
      <c r="E221" t="s">
        <v>48</v>
      </c>
      <c r="F221">
        <v>319</v>
      </c>
      <c r="G221">
        <v>30</v>
      </c>
      <c r="H221" s="3">
        <v>1000</v>
      </c>
      <c r="I221" s="3">
        <v>200</v>
      </c>
      <c r="J221" s="3" t="str">
        <f>_xlfn.CONCAT("Definition of id ",SecondLine[[#This Row],[ProductId]])</f>
        <v>Definition of id 319</v>
      </c>
    </row>
    <row r="222" spans="1:10">
      <c r="A222" s="5">
        <v>45046</v>
      </c>
      <c r="B222">
        <f>MONTH(SecondLine[[#This Row],[Date]])</f>
        <v>4</v>
      </c>
      <c r="C222" s="3" t="s">
        <v>1</v>
      </c>
      <c r="D222" t="s">
        <v>45</v>
      </c>
      <c r="E222" t="s">
        <v>48</v>
      </c>
      <c r="F222">
        <v>320</v>
      </c>
      <c r="G222">
        <v>30</v>
      </c>
      <c r="H222" s="3">
        <v>1000</v>
      </c>
      <c r="I222" s="3">
        <v>200</v>
      </c>
      <c r="J222" s="3" t="str">
        <f>_xlfn.CONCAT("Definition of id ",SecondLine[[#This Row],[ProductId]])</f>
        <v>Definition of id 320</v>
      </c>
    </row>
    <row r="223" spans="1:10">
      <c r="A223" s="5">
        <v>45046</v>
      </c>
      <c r="B223">
        <f>MONTH(SecondLine[[#This Row],[Date]])</f>
        <v>4</v>
      </c>
      <c r="C223" s="3" t="s">
        <v>3</v>
      </c>
      <c r="D223" t="s">
        <v>45</v>
      </c>
      <c r="E223" t="s">
        <v>48</v>
      </c>
      <c r="F223">
        <v>321</v>
      </c>
      <c r="G223">
        <v>30</v>
      </c>
      <c r="H223" s="3">
        <v>1000</v>
      </c>
      <c r="I223" s="3">
        <v>200</v>
      </c>
      <c r="J223" s="3" t="str">
        <f>_xlfn.CONCAT("Definition of id ",SecondLine[[#This Row],[ProductId]])</f>
        <v>Definition of id 321</v>
      </c>
    </row>
    <row r="224" spans="1:10">
      <c r="A224" s="5">
        <v>45046</v>
      </c>
      <c r="B224">
        <f>MONTH(SecondLine[[#This Row],[Date]])</f>
        <v>4</v>
      </c>
      <c r="C224" s="3" t="s">
        <v>0</v>
      </c>
      <c r="D224" t="s">
        <v>45</v>
      </c>
      <c r="E224" t="s">
        <v>48</v>
      </c>
      <c r="F224">
        <v>322</v>
      </c>
      <c r="G224">
        <v>30</v>
      </c>
      <c r="H224" s="3">
        <v>1000</v>
      </c>
      <c r="I224" s="3">
        <v>200</v>
      </c>
      <c r="J224" s="3" t="str">
        <f>_xlfn.CONCAT("Definition of id ",SecondLine[[#This Row],[ProductId]])</f>
        <v>Definition of id 322</v>
      </c>
    </row>
    <row r="225" spans="1:10">
      <c r="A225" s="5">
        <v>45046</v>
      </c>
      <c r="B225">
        <f>MONTH(SecondLine[[#This Row],[Date]])</f>
        <v>4</v>
      </c>
      <c r="C225" s="3" t="s">
        <v>1</v>
      </c>
      <c r="D225" t="s">
        <v>45</v>
      </c>
      <c r="E225" t="s">
        <v>48</v>
      </c>
      <c r="F225">
        <v>323</v>
      </c>
      <c r="G225">
        <v>30</v>
      </c>
      <c r="H225" s="3">
        <v>1000</v>
      </c>
      <c r="I225" s="3">
        <v>200</v>
      </c>
      <c r="J225" s="3" t="str">
        <f>_xlfn.CONCAT("Definition of id ",SecondLine[[#This Row],[ProductId]])</f>
        <v>Definition of id 323</v>
      </c>
    </row>
    <row r="226" spans="1:10">
      <c r="A226" s="5">
        <v>45048</v>
      </c>
      <c r="B226">
        <f>MONTH(SecondLine[[#This Row],[Date]])</f>
        <v>5</v>
      </c>
      <c r="C226" s="3" t="s">
        <v>3</v>
      </c>
      <c r="D226" t="s">
        <v>46</v>
      </c>
      <c r="E226" t="s">
        <v>50</v>
      </c>
      <c r="F226">
        <v>324</v>
      </c>
      <c r="G226">
        <v>30</v>
      </c>
      <c r="H226" s="3">
        <v>1000</v>
      </c>
      <c r="I226" s="3">
        <v>200</v>
      </c>
      <c r="J226" s="3" t="str">
        <f>_xlfn.CONCAT("Definition of id ",SecondLine[[#This Row],[ProductId]])</f>
        <v>Definition of id 324</v>
      </c>
    </row>
    <row r="227" spans="1:10">
      <c r="A227" s="5">
        <v>45048</v>
      </c>
      <c r="B227">
        <f>MONTH(SecondLine[[#This Row],[Date]])</f>
        <v>5</v>
      </c>
      <c r="C227" s="3" t="s">
        <v>0</v>
      </c>
      <c r="D227" t="s">
        <v>46</v>
      </c>
      <c r="E227" t="s">
        <v>50</v>
      </c>
      <c r="F227">
        <v>325</v>
      </c>
      <c r="G227">
        <v>30</v>
      </c>
      <c r="H227" s="3">
        <v>1000</v>
      </c>
      <c r="I227" s="3">
        <v>200</v>
      </c>
      <c r="J227" s="3" t="str">
        <f>_xlfn.CONCAT("Definition of id ",SecondLine[[#This Row],[ProductId]])</f>
        <v>Definition of id 325</v>
      </c>
    </row>
    <row r="228" spans="1:10">
      <c r="A228" s="5">
        <v>45048</v>
      </c>
      <c r="B228">
        <f>MONTH(SecondLine[[#This Row],[Date]])</f>
        <v>5</v>
      </c>
      <c r="C228" s="3" t="s">
        <v>1</v>
      </c>
      <c r="D228" t="s">
        <v>45</v>
      </c>
      <c r="E228" t="s">
        <v>48</v>
      </c>
      <c r="F228">
        <v>326</v>
      </c>
      <c r="G228">
        <v>30</v>
      </c>
      <c r="H228" s="3">
        <v>1000</v>
      </c>
      <c r="I228" s="3">
        <v>200</v>
      </c>
      <c r="J228" s="3" t="str">
        <f>_xlfn.CONCAT("Definition of id ",SecondLine[[#This Row],[ProductId]])</f>
        <v>Definition of id 326</v>
      </c>
    </row>
    <row r="229" spans="1:10">
      <c r="A229" s="5">
        <v>45048</v>
      </c>
      <c r="B229">
        <f>MONTH(SecondLine[[#This Row],[Date]])</f>
        <v>5</v>
      </c>
      <c r="C229" s="3" t="s">
        <v>3</v>
      </c>
      <c r="D229" t="s">
        <v>45</v>
      </c>
      <c r="E229" t="s">
        <v>48</v>
      </c>
      <c r="F229">
        <v>327</v>
      </c>
      <c r="G229">
        <v>30</v>
      </c>
      <c r="H229" s="3">
        <v>1000</v>
      </c>
      <c r="I229" s="3">
        <v>200</v>
      </c>
      <c r="J229" s="3" t="str">
        <f>_xlfn.CONCAT("Definition of id ",SecondLine[[#This Row],[ProductId]])</f>
        <v>Definition of id 327</v>
      </c>
    </row>
    <row r="230" spans="1:10">
      <c r="A230" s="5">
        <v>45050</v>
      </c>
      <c r="B230">
        <f>MONTH(SecondLine[[#This Row],[Date]])</f>
        <v>5</v>
      </c>
      <c r="C230" s="3" t="s">
        <v>0</v>
      </c>
      <c r="D230" t="s">
        <v>45</v>
      </c>
      <c r="E230" t="s">
        <v>48</v>
      </c>
      <c r="F230">
        <v>328</v>
      </c>
      <c r="G230">
        <v>20</v>
      </c>
      <c r="H230" s="3">
        <v>1000</v>
      </c>
      <c r="I230" s="3">
        <v>2500</v>
      </c>
      <c r="J230" s="3" t="str">
        <f>_xlfn.CONCAT("Definition of id ",SecondLine[[#This Row],[ProductId]])</f>
        <v>Definition of id 328</v>
      </c>
    </row>
    <row r="231" spans="1:10">
      <c r="A231" s="5">
        <v>45050</v>
      </c>
      <c r="B231">
        <f>MONTH(SecondLine[[#This Row],[Date]])</f>
        <v>5</v>
      </c>
      <c r="C231" s="3" t="s">
        <v>0</v>
      </c>
      <c r="D231" t="s">
        <v>45</v>
      </c>
      <c r="E231" t="s">
        <v>48</v>
      </c>
      <c r="F231">
        <v>329</v>
      </c>
      <c r="G231">
        <v>20</v>
      </c>
      <c r="H231" s="3">
        <v>1000</v>
      </c>
      <c r="I231" s="3">
        <v>2500</v>
      </c>
      <c r="J231" s="3" t="str">
        <f>_xlfn.CONCAT("Definition of id ",SecondLine[[#This Row],[ProductId]])</f>
        <v>Definition of id 329</v>
      </c>
    </row>
    <row r="232" spans="1:10">
      <c r="A232" s="5">
        <v>45050</v>
      </c>
      <c r="B232">
        <f>MONTH(SecondLine[[#This Row],[Date]])</f>
        <v>5</v>
      </c>
      <c r="C232" s="3" t="s">
        <v>1</v>
      </c>
      <c r="D232" t="s">
        <v>45</v>
      </c>
      <c r="E232" t="s">
        <v>48</v>
      </c>
      <c r="F232">
        <v>330</v>
      </c>
      <c r="G232">
        <v>20</v>
      </c>
      <c r="H232" s="3">
        <v>1000</v>
      </c>
      <c r="I232" s="3">
        <v>2500</v>
      </c>
      <c r="J232" s="3" t="str">
        <f>_xlfn.CONCAT("Definition of id ",SecondLine[[#This Row],[ProductId]])</f>
        <v>Definition of id 330</v>
      </c>
    </row>
    <row r="233" spans="1:10">
      <c r="A233" s="5">
        <v>45050</v>
      </c>
      <c r="B233">
        <f>MONTH(SecondLine[[#This Row],[Date]])</f>
        <v>5</v>
      </c>
      <c r="C233" s="3" t="s">
        <v>1</v>
      </c>
      <c r="D233" t="s">
        <v>45</v>
      </c>
      <c r="E233" t="s">
        <v>48</v>
      </c>
      <c r="F233">
        <v>331</v>
      </c>
      <c r="G233">
        <v>20</v>
      </c>
      <c r="H233" s="3">
        <v>1000</v>
      </c>
      <c r="I233" s="3">
        <v>2500</v>
      </c>
      <c r="J233" s="3" t="str">
        <f>_xlfn.CONCAT("Definition of id ",SecondLine[[#This Row],[ProductId]])</f>
        <v>Definition of id 331</v>
      </c>
    </row>
    <row r="234" spans="1:10">
      <c r="A234" s="5">
        <v>45052</v>
      </c>
      <c r="B234">
        <f>MONTH(SecondLine[[#This Row],[Date]])</f>
        <v>5</v>
      </c>
      <c r="C234" s="3" t="s">
        <v>3</v>
      </c>
      <c r="D234" t="s">
        <v>45</v>
      </c>
      <c r="E234" t="s">
        <v>48</v>
      </c>
      <c r="F234">
        <v>332</v>
      </c>
      <c r="G234">
        <v>5</v>
      </c>
      <c r="H234" s="3">
        <v>500</v>
      </c>
      <c r="I234" s="3">
        <v>1000</v>
      </c>
      <c r="J234" s="3" t="str">
        <f>_xlfn.CONCAT("Definition of id ",SecondLine[[#This Row],[ProductId]])</f>
        <v>Definition of id 332</v>
      </c>
    </row>
    <row r="235" spans="1:10">
      <c r="A235" s="5">
        <v>45052</v>
      </c>
      <c r="B235">
        <f>MONTH(SecondLine[[#This Row],[Date]])</f>
        <v>5</v>
      </c>
      <c r="C235" s="3" t="s">
        <v>3</v>
      </c>
      <c r="D235" t="s">
        <v>45</v>
      </c>
      <c r="E235" t="s">
        <v>48</v>
      </c>
      <c r="F235">
        <v>333</v>
      </c>
      <c r="G235">
        <v>5</v>
      </c>
      <c r="H235" s="3">
        <v>500</v>
      </c>
      <c r="I235" s="3">
        <v>1000</v>
      </c>
      <c r="J235" s="3" t="str">
        <f>_xlfn.CONCAT("Definition of id ",SecondLine[[#This Row],[ProductId]])</f>
        <v>Definition of id 333</v>
      </c>
    </row>
    <row r="236" spans="1:10">
      <c r="A236" s="5">
        <v>45052</v>
      </c>
      <c r="B236">
        <f>MONTH(SecondLine[[#This Row],[Date]])</f>
        <v>5</v>
      </c>
      <c r="C236" s="3" t="s">
        <v>0</v>
      </c>
      <c r="D236" t="s">
        <v>47</v>
      </c>
      <c r="E236" t="s">
        <v>49</v>
      </c>
      <c r="F236">
        <v>334</v>
      </c>
      <c r="G236">
        <v>5</v>
      </c>
      <c r="H236" s="3">
        <v>500</v>
      </c>
      <c r="I236" s="3">
        <v>1000</v>
      </c>
      <c r="J236" s="3" t="str">
        <f>_xlfn.CONCAT("Definition of id ",SecondLine[[#This Row],[ProductId]])</f>
        <v>Definition of id 334</v>
      </c>
    </row>
    <row r="237" spans="1:10">
      <c r="A237" s="5">
        <v>45052</v>
      </c>
      <c r="B237">
        <f>MONTH(SecondLine[[#This Row],[Date]])</f>
        <v>5</v>
      </c>
      <c r="C237" s="3" t="s">
        <v>1</v>
      </c>
      <c r="D237" t="s">
        <v>47</v>
      </c>
      <c r="E237" t="s">
        <v>49</v>
      </c>
      <c r="F237">
        <v>335</v>
      </c>
      <c r="G237">
        <v>5</v>
      </c>
      <c r="H237" s="3">
        <v>500</v>
      </c>
      <c r="I237" s="3">
        <v>1000</v>
      </c>
      <c r="J237" s="3" t="str">
        <f>_xlfn.CONCAT("Definition of id ",SecondLine[[#This Row],[ProductId]])</f>
        <v>Definition of id 335</v>
      </c>
    </row>
    <row r="238" spans="1:10">
      <c r="A238" s="5">
        <v>45054</v>
      </c>
      <c r="B238">
        <f>MONTH(SecondLine[[#This Row],[Date]])</f>
        <v>5</v>
      </c>
      <c r="C238" s="3" t="s">
        <v>3</v>
      </c>
      <c r="D238" t="s">
        <v>45</v>
      </c>
      <c r="E238" t="s">
        <v>48</v>
      </c>
      <c r="F238">
        <v>336</v>
      </c>
      <c r="G238">
        <v>30</v>
      </c>
      <c r="H238" s="3">
        <v>1000</v>
      </c>
      <c r="I238" s="3">
        <v>200</v>
      </c>
      <c r="J238" s="3" t="str">
        <f>_xlfn.CONCAT("Definition of id ",SecondLine[[#This Row],[ProductId]])</f>
        <v>Definition of id 336</v>
      </c>
    </row>
    <row r="239" spans="1:10">
      <c r="A239" s="5">
        <v>45054</v>
      </c>
      <c r="B239">
        <f>MONTH(SecondLine[[#This Row],[Date]])</f>
        <v>5</v>
      </c>
      <c r="C239" s="3" t="s">
        <v>0</v>
      </c>
      <c r="D239" t="s">
        <v>45</v>
      </c>
      <c r="E239" t="s">
        <v>48</v>
      </c>
      <c r="F239">
        <v>337</v>
      </c>
      <c r="G239">
        <v>30</v>
      </c>
      <c r="H239" s="3">
        <v>1000</v>
      </c>
      <c r="I239" s="3">
        <v>200</v>
      </c>
      <c r="J239" s="3" t="str">
        <f>_xlfn.CONCAT("Definition of id ",SecondLine[[#This Row],[ProductId]])</f>
        <v>Definition of id 337</v>
      </c>
    </row>
    <row r="240" spans="1:10">
      <c r="A240" s="5">
        <v>45054</v>
      </c>
      <c r="B240">
        <f>MONTH(SecondLine[[#This Row],[Date]])</f>
        <v>5</v>
      </c>
      <c r="C240" s="3" t="s">
        <v>1</v>
      </c>
      <c r="D240" t="s">
        <v>45</v>
      </c>
      <c r="E240" t="s">
        <v>48</v>
      </c>
      <c r="F240">
        <v>338</v>
      </c>
      <c r="G240">
        <v>30</v>
      </c>
      <c r="H240" s="3">
        <v>1000</v>
      </c>
      <c r="I240" s="3">
        <v>200</v>
      </c>
      <c r="J240" s="3" t="str">
        <f>_xlfn.CONCAT("Definition of id ",SecondLine[[#This Row],[ProductId]])</f>
        <v>Definition of id 338</v>
      </c>
    </row>
    <row r="241" spans="1:10">
      <c r="A241" s="5">
        <v>45054</v>
      </c>
      <c r="B241">
        <f>MONTH(SecondLine[[#This Row],[Date]])</f>
        <v>5</v>
      </c>
      <c r="C241" s="3" t="s">
        <v>3</v>
      </c>
      <c r="D241" t="s">
        <v>45</v>
      </c>
      <c r="E241" t="s">
        <v>48</v>
      </c>
      <c r="F241">
        <v>339</v>
      </c>
      <c r="G241">
        <v>30</v>
      </c>
      <c r="H241" s="3">
        <v>1000</v>
      </c>
      <c r="I241" s="3">
        <v>200</v>
      </c>
      <c r="J241" s="3" t="str">
        <f>_xlfn.CONCAT("Definition of id ",SecondLine[[#This Row],[ProductId]])</f>
        <v>Definition of id 339</v>
      </c>
    </row>
    <row r="242" spans="1:10">
      <c r="A242" s="5">
        <v>45056</v>
      </c>
      <c r="B242">
        <f>MONTH(SecondLine[[#This Row],[Date]])</f>
        <v>5</v>
      </c>
      <c r="C242" s="3" t="s">
        <v>0</v>
      </c>
      <c r="D242" t="s">
        <v>45</v>
      </c>
      <c r="E242" t="s">
        <v>48</v>
      </c>
      <c r="F242">
        <v>340</v>
      </c>
      <c r="G242">
        <v>30</v>
      </c>
      <c r="H242" s="3">
        <v>1000</v>
      </c>
      <c r="I242" s="3">
        <v>200</v>
      </c>
      <c r="J242" s="3" t="str">
        <f>_xlfn.CONCAT("Definition of id ",SecondLine[[#This Row],[ProductId]])</f>
        <v>Definition of id 340</v>
      </c>
    </row>
    <row r="243" spans="1:10">
      <c r="A243" s="5">
        <v>45056</v>
      </c>
      <c r="B243">
        <f>MONTH(SecondLine[[#This Row],[Date]])</f>
        <v>5</v>
      </c>
      <c r="C243" s="3" t="s">
        <v>1</v>
      </c>
      <c r="D243" t="s">
        <v>47</v>
      </c>
      <c r="E243" t="s">
        <v>49</v>
      </c>
      <c r="F243">
        <v>341</v>
      </c>
      <c r="G243">
        <v>30</v>
      </c>
      <c r="H243" s="3">
        <v>1000</v>
      </c>
      <c r="I243" s="3">
        <v>200</v>
      </c>
      <c r="J243" s="3" t="str">
        <f>_xlfn.CONCAT("Definition of id ",SecondLine[[#This Row],[ProductId]])</f>
        <v>Definition of id 341</v>
      </c>
    </row>
    <row r="244" spans="1:10">
      <c r="A244" s="5">
        <v>45056</v>
      </c>
      <c r="B244">
        <f>MONTH(SecondLine[[#This Row],[Date]])</f>
        <v>5</v>
      </c>
      <c r="C244" s="3" t="s">
        <v>3</v>
      </c>
      <c r="D244" t="s">
        <v>47</v>
      </c>
      <c r="E244" t="s">
        <v>49</v>
      </c>
      <c r="F244">
        <v>342</v>
      </c>
      <c r="G244">
        <v>30</v>
      </c>
      <c r="H244" s="3">
        <v>1000</v>
      </c>
      <c r="I244" s="3">
        <v>200</v>
      </c>
      <c r="J244" s="3" t="str">
        <f>_xlfn.CONCAT("Definition of id ",SecondLine[[#This Row],[ProductId]])</f>
        <v>Definition of id 342</v>
      </c>
    </row>
    <row r="245" spans="1:10">
      <c r="A245" s="5">
        <v>45056</v>
      </c>
      <c r="B245">
        <f>MONTH(SecondLine[[#This Row],[Date]])</f>
        <v>5</v>
      </c>
      <c r="C245" s="3" t="s">
        <v>0</v>
      </c>
      <c r="D245" t="s">
        <v>46</v>
      </c>
      <c r="E245" t="s">
        <v>50</v>
      </c>
      <c r="F245">
        <v>343</v>
      </c>
      <c r="G245">
        <v>20</v>
      </c>
      <c r="H245" s="3">
        <v>1000</v>
      </c>
      <c r="I245" s="3">
        <v>2500</v>
      </c>
      <c r="J245" s="3" t="str">
        <f>_xlfn.CONCAT("Definition of id ",SecondLine[[#This Row],[ProductId]])</f>
        <v>Definition of id 343</v>
      </c>
    </row>
    <row r="246" spans="1:10">
      <c r="A246" s="5">
        <v>45058</v>
      </c>
      <c r="B246">
        <f>MONTH(SecondLine[[#This Row],[Date]])</f>
        <v>5</v>
      </c>
      <c r="C246" s="3" t="s">
        <v>1</v>
      </c>
      <c r="D246" t="s">
        <v>46</v>
      </c>
      <c r="E246" t="s">
        <v>50</v>
      </c>
      <c r="F246">
        <v>344</v>
      </c>
      <c r="G246">
        <v>5</v>
      </c>
      <c r="H246" s="3">
        <v>500</v>
      </c>
      <c r="I246" s="3">
        <v>1000</v>
      </c>
      <c r="J246" s="3" t="str">
        <f>_xlfn.CONCAT("Definition of id ",SecondLine[[#This Row],[ProductId]])</f>
        <v>Definition of id 344</v>
      </c>
    </row>
    <row r="247" spans="1:10">
      <c r="A247" s="5">
        <v>45058</v>
      </c>
      <c r="B247">
        <f>MONTH(SecondLine[[#This Row],[Date]])</f>
        <v>5</v>
      </c>
      <c r="C247" s="3" t="s">
        <v>3</v>
      </c>
      <c r="D247" t="s">
        <v>46</v>
      </c>
      <c r="E247" t="s">
        <v>50</v>
      </c>
      <c r="F247">
        <v>345</v>
      </c>
      <c r="G247">
        <v>5</v>
      </c>
      <c r="H247" s="3">
        <v>500</v>
      </c>
      <c r="I247" s="3">
        <v>1000</v>
      </c>
      <c r="J247" s="3" t="str">
        <f>_xlfn.CONCAT("Definition of id ",SecondLine[[#This Row],[ProductId]])</f>
        <v>Definition of id 345</v>
      </c>
    </row>
    <row r="248" spans="1:10">
      <c r="A248" s="5">
        <v>45058</v>
      </c>
      <c r="B248">
        <f>MONTH(SecondLine[[#This Row],[Date]])</f>
        <v>5</v>
      </c>
      <c r="C248" s="3" t="s">
        <v>0</v>
      </c>
      <c r="D248" t="s">
        <v>46</v>
      </c>
      <c r="E248" t="s">
        <v>50</v>
      </c>
      <c r="F248">
        <v>346</v>
      </c>
      <c r="G248">
        <v>5</v>
      </c>
      <c r="H248" s="3">
        <v>500</v>
      </c>
      <c r="I248" s="3">
        <v>1000</v>
      </c>
      <c r="J248" s="3" t="str">
        <f>_xlfn.CONCAT("Definition of id ",SecondLine[[#This Row],[ProductId]])</f>
        <v>Definition of id 346</v>
      </c>
    </row>
    <row r="249" spans="1:10">
      <c r="A249" s="5">
        <v>45058</v>
      </c>
      <c r="B249">
        <f>MONTH(SecondLine[[#This Row],[Date]])</f>
        <v>5</v>
      </c>
      <c r="C249" s="3" t="s">
        <v>0</v>
      </c>
      <c r="D249" t="s">
        <v>46</v>
      </c>
      <c r="E249" t="s">
        <v>50</v>
      </c>
      <c r="F249">
        <v>347</v>
      </c>
      <c r="G249">
        <v>5</v>
      </c>
      <c r="H249" s="3">
        <v>500</v>
      </c>
      <c r="I249" s="3">
        <v>1000</v>
      </c>
      <c r="J249" s="3" t="str">
        <f>_xlfn.CONCAT("Definition of id ",SecondLine[[#This Row],[ProductId]])</f>
        <v>Definition of id 347</v>
      </c>
    </row>
    <row r="250" spans="1:10">
      <c r="A250" s="5">
        <v>45060</v>
      </c>
      <c r="B250">
        <f>MONTH(SecondLine[[#This Row],[Date]])</f>
        <v>5</v>
      </c>
      <c r="C250" s="3" t="s">
        <v>1</v>
      </c>
      <c r="D250" t="s">
        <v>46</v>
      </c>
      <c r="E250" t="s">
        <v>50</v>
      </c>
      <c r="F250">
        <v>348</v>
      </c>
      <c r="G250">
        <v>30</v>
      </c>
      <c r="H250" s="3">
        <v>1000</v>
      </c>
      <c r="I250" s="3">
        <v>200</v>
      </c>
      <c r="J250" s="3" t="str">
        <f>_xlfn.CONCAT("Definition of id ",SecondLine[[#This Row],[ProductId]])</f>
        <v>Definition of id 348</v>
      </c>
    </row>
    <row r="251" spans="1:10">
      <c r="A251" s="5">
        <v>45060</v>
      </c>
      <c r="B251">
        <f>MONTH(SecondLine[[#This Row],[Date]])</f>
        <v>5</v>
      </c>
      <c r="C251" s="3" t="s">
        <v>1</v>
      </c>
      <c r="D251" t="s">
        <v>46</v>
      </c>
      <c r="E251" t="s">
        <v>50</v>
      </c>
      <c r="F251">
        <v>349</v>
      </c>
      <c r="G251">
        <v>30</v>
      </c>
      <c r="H251" s="3">
        <v>1000</v>
      </c>
      <c r="I251" s="3">
        <v>200</v>
      </c>
      <c r="J251" s="3" t="str">
        <f>_xlfn.CONCAT("Definition of id ",SecondLine[[#This Row],[ProductId]])</f>
        <v>Definition of id 349</v>
      </c>
    </row>
    <row r="252" spans="1:10">
      <c r="A252" s="5">
        <v>45060</v>
      </c>
      <c r="B252">
        <f>MONTH(SecondLine[[#This Row],[Date]])</f>
        <v>5</v>
      </c>
      <c r="C252" s="3" t="s">
        <v>3</v>
      </c>
      <c r="D252" t="s">
        <v>46</v>
      </c>
      <c r="E252" t="s">
        <v>50</v>
      </c>
      <c r="F252">
        <v>350</v>
      </c>
      <c r="G252">
        <v>30</v>
      </c>
      <c r="H252" s="3">
        <v>1000</v>
      </c>
      <c r="I252" s="3">
        <v>200</v>
      </c>
      <c r="J252" s="3" t="str">
        <f>_xlfn.CONCAT("Definition of id ",SecondLine[[#This Row],[ProductId]])</f>
        <v>Definition of id 350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4"/>
  <dimension ref="A1:J251"/>
  <sheetViews>
    <sheetView workbookViewId="0">
      <selection activeCell="E5" sqref="E5"/>
    </sheetView>
  </sheetViews>
  <sheetFormatPr defaultRowHeight="15"/>
  <cols>
    <col min="1" max="1" width="9.85546875" style="2" bestFit="1" customWidth="1"/>
    <col min="2" max="2" width="11.7109375" bestFit="1" customWidth="1"/>
    <col min="3" max="3" width="11.42578125" bestFit="1" customWidth="1"/>
    <col min="4" max="4" width="10.7109375" bestFit="1" customWidth="1"/>
    <col min="5" max="5" width="37.140625" bestFit="1" customWidth="1"/>
    <col min="6" max="6" width="12.42578125" bestFit="1" customWidth="1"/>
    <col min="7" max="7" width="12.140625" bestFit="1" customWidth="1"/>
    <col min="8" max="8" width="13.5703125" bestFit="1" customWidth="1"/>
    <col min="9" max="9" width="13.5703125" customWidth="1"/>
    <col min="10" max="10" width="34.85546875" bestFit="1" customWidth="1"/>
    <col min="11" max="19" width="14.42578125" bestFit="1" customWidth="1"/>
    <col min="20" max="20" width="6.7109375" bestFit="1" customWidth="1"/>
    <col min="21" max="21" width="13.28515625" bestFit="1" customWidth="1"/>
    <col min="22" max="22" width="13.7109375" bestFit="1" customWidth="1"/>
  </cols>
  <sheetData>
    <row r="1" spans="1:10" s="1" customFormat="1">
      <c r="A1" s="4" t="s">
        <v>53</v>
      </c>
      <c r="B1" s="1" t="s">
        <v>52</v>
      </c>
      <c r="C1" s="1" t="s">
        <v>51</v>
      </c>
      <c r="D1" s="1" t="s">
        <v>44</v>
      </c>
      <c r="E1" s="1" t="s">
        <v>43</v>
      </c>
      <c r="F1" s="1" t="s">
        <v>42</v>
      </c>
      <c r="G1" s="1" t="s">
        <v>38</v>
      </c>
      <c r="H1" s="1" t="s">
        <v>39</v>
      </c>
      <c r="I1" s="1" t="s">
        <v>40</v>
      </c>
      <c r="J1" s="1" t="s">
        <v>41</v>
      </c>
    </row>
    <row r="2" spans="1:10">
      <c r="A2" s="5">
        <v>44936</v>
      </c>
      <c r="B2">
        <v>1</v>
      </c>
      <c r="C2" s="3" t="s">
        <v>3</v>
      </c>
      <c r="D2" t="s">
        <v>45</v>
      </c>
      <c r="E2" t="s">
        <v>48</v>
      </c>
      <c r="F2">
        <v>351</v>
      </c>
      <c r="G2">
        <v>30</v>
      </c>
      <c r="H2" s="3">
        <v>1000</v>
      </c>
      <c r="I2" s="3">
        <v>200</v>
      </c>
      <c r="J2" s="3" t="s">
        <v>17</v>
      </c>
    </row>
    <row r="3" spans="1:10">
      <c r="A3" s="5">
        <v>44936</v>
      </c>
      <c r="B3">
        <v>1</v>
      </c>
      <c r="C3" s="3" t="s">
        <v>0</v>
      </c>
      <c r="D3" t="s">
        <v>45</v>
      </c>
      <c r="E3" t="s">
        <v>48</v>
      </c>
      <c r="F3">
        <v>352</v>
      </c>
      <c r="G3">
        <v>30</v>
      </c>
      <c r="H3" s="3">
        <v>1000</v>
      </c>
      <c r="I3" s="3">
        <v>200</v>
      </c>
      <c r="J3" s="3" t="s">
        <v>23</v>
      </c>
    </row>
    <row r="4" spans="1:10">
      <c r="A4" s="5">
        <v>44936</v>
      </c>
      <c r="B4">
        <v>1</v>
      </c>
      <c r="C4" s="3" t="s">
        <v>1</v>
      </c>
      <c r="D4" t="s">
        <v>46</v>
      </c>
      <c r="E4" t="s">
        <v>50</v>
      </c>
      <c r="F4">
        <v>353</v>
      </c>
      <c r="G4">
        <v>30</v>
      </c>
      <c r="H4" s="3">
        <v>1000</v>
      </c>
      <c r="I4" s="3">
        <v>200</v>
      </c>
      <c r="J4" s="3" t="s">
        <v>17</v>
      </c>
    </row>
    <row r="5" spans="1:10">
      <c r="A5" s="5">
        <v>44936</v>
      </c>
      <c r="B5">
        <v>1</v>
      </c>
      <c r="C5" s="3" t="s">
        <v>3</v>
      </c>
      <c r="D5" t="s">
        <v>46</v>
      </c>
      <c r="E5" t="s">
        <v>50</v>
      </c>
      <c r="F5">
        <v>354</v>
      </c>
      <c r="G5">
        <v>30</v>
      </c>
      <c r="H5" s="3">
        <v>1000</v>
      </c>
      <c r="I5" s="3">
        <v>200</v>
      </c>
      <c r="J5" s="3" t="s">
        <v>17</v>
      </c>
    </row>
    <row r="6" spans="1:10">
      <c r="A6" s="5">
        <v>44938</v>
      </c>
      <c r="B6">
        <v>1</v>
      </c>
      <c r="C6" s="3" t="s">
        <v>0</v>
      </c>
      <c r="D6" t="s">
        <v>45</v>
      </c>
      <c r="E6" t="s">
        <v>48</v>
      </c>
      <c r="F6">
        <v>355</v>
      </c>
      <c r="G6">
        <v>30</v>
      </c>
      <c r="H6" s="3">
        <v>1000</v>
      </c>
      <c r="I6" s="3">
        <v>200</v>
      </c>
      <c r="J6" s="3" t="s">
        <v>8</v>
      </c>
    </row>
    <row r="7" spans="1:10">
      <c r="A7" s="5">
        <v>44938</v>
      </c>
      <c r="B7">
        <v>1</v>
      </c>
      <c r="C7" s="3" t="s">
        <v>1</v>
      </c>
      <c r="D7" t="s">
        <v>45</v>
      </c>
      <c r="E7" t="s">
        <v>48</v>
      </c>
      <c r="F7">
        <v>356</v>
      </c>
      <c r="G7">
        <v>30</v>
      </c>
      <c r="H7" s="3">
        <v>1000</v>
      </c>
      <c r="I7" s="3">
        <v>200</v>
      </c>
      <c r="J7" s="3" t="s">
        <v>5</v>
      </c>
    </row>
    <row r="8" spans="1:10">
      <c r="A8" s="5">
        <v>44938</v>
      </c>
      <c r="B8">
        <v>1</v>
      </c>
      <c r="C8" s="3" t="s">
        <v>3</v>
      </c>
      <c r="D8" t="s">
        <v>45</v>
      </c>
      <c r="E8" t="s">
        <v>48</v>
      </c>
      <c r="F8">
        <v>357</v>
      </c>
      <c r="G8">
        <v>30</v>
      </c>
      <c r="H8" s="3">
        <v>1000</v>
      </c>
      <c r="I8" s="3">
        <v>200</v>
      </c>
      <c r="J8" s="3" t="s">
        <v>7</v>
      </c>
    </row>
    <row r="9" spans="1:10">
      <c r="A9" s="5">
        <v>44938</v>
      </c>
      <c r="B9">
        <v>1</v>
      </c>
      <c r="C9" s="3" t="s">
        <v>0</v>
      </c>
      <c r="D9" t="s">
        <v>47</v>
      </c>
      <c r="E9" t="s">
        <v>49</v>
      </c>
      <c r="F9">
        <v>358</v>
      </c>
      <c r="G9">
        <v>20</v>
      </c>
      <c r="H9" s="3">
        <v>1000</v>
      </c>
      <c r="I9" s="3">
        <v>2500</v>
      </c>
      <c r="J9" s="3" t="s">
        <v>7</v>
      </c>
    </row>
    <row r="10" spans="1:10">
      <c r="A10" s="5">
        <v>44940</v>
      </c>
      <c r="B10">
        <v>1</v>
      </c>
      <c r="C10" s="3" t="s">
        <v>1</v>
      </c>
      <c r="D10" t="s">
        <v>47</v>
      </c>
      <c r="E10" t="s">
        <v>49</v>
      </c>
      <c r="F10">
        <v>359</v>
      </c>
      <c r="G10">
        <v>20</v>
      </c>
      <c r="H10" s="3">
        <v>1000</v>
      </c>
      <c r="I10" s="3">
        <v>2500</v>
      </c>
      <c r="J10" s="3" t="s">
        <v>15</v>
      </c>
    </row>
    <row r="11" spans="1:10">
      <c r="A11" s="5">
        <v>44940</v>
      </c>
      <c r="B11">
        <v>1</v>
      </c>
      <c r="C11" s="3" t="s">
        <v>3</v>
      </c>
      <c r="D11" t="s">
        <v>45</v>
      </c>
      <c r="E11" t="s">
        <v>48</v>
      </c>
      <c r="F11">
        <v>360</v>
      </c>
      <c r="G11">
        <v>20</v>
      </c>
      <c r="H11" s="3">
        <v>1000</v>
      </c>
      <c r="I11" s="3">
        <v>2500</v>
      </c>
      <c r="J11" s="3" t="s">
        <v>24</v>
      </c>
    </row>
    <row r="12" spans="1:10">
      <c r="A12" s="5">
        <v>44940</v>
      </c>
      <c r="B12">
        <v>1</v>
      </c>
      <c r="C12" s="3" t="s">
        <v>0</v>
      </c>
      <c r="D12" t="s">
        <v>45</v>
      </c>
      <c r="E12" t="s">
        <v>48</v>
      </c>
      <c r="F12">
        <v>361</v>
      </c>
      <c r="G12">
        <v>20</v>
      </c>
      <c r="H12" s="3">
        <v>1000</v>
      </c>
      <c r="I12" s="3">
        <v>2500</v>
      </c>
      <c r="J12" s="3" t="s">
        <v>15</v>
      </c>
    </row>
    <row r="13" spans="1:10">
      <c r="A13" s="5">
        <v>44940</v>
      </c>
      <c r="B13">
        <v>1</v>
      </c>
      <c r="C13" s="3" t="s">
        <v>1</v>
      </c>
      <c r="D13" t="s">
        <v>45</v>
      </c>
      <c r="E13" t="s">
        <v>48</v>
      </c>
      <c r="F13">
        <v>362</v>
      </c>
      <c r="G13">
        <v>5</v>
      </c>
      <c r="H13" s="3">
        <v>500</v>
      </c>
      <c r="I13" s="3">
        <v>1000</v>
      </c>
      <c r="J13" s="3" t="s">
        <v>15</v>
      </c>
    </row>
    <row r="14" spans="1:10">
      <c r="A14" s="5">
        <v>44942</v>
      </c>
      <c r="B14">
        <v>1</v>
      </c>
      <c r="C14" s="3" t="s">
        <v>3</v>
      </c>
      <c r="D14" t="s">
        <v>45</v>
      </c>
      <c r="E14" t="s">
        <v>48</v>
      </c>
      <c r="F14">
        <v>363</v>
      </c>
      <c r="G14">
        <v>5</v>
      </c>
      <c r="H14" s="3">
        <v>500</v>
      </c>
      <c r="I14" s="3">
        <v>1000</v>
      </c>
      <c r="J14" s="3" t="s">
        <v>23</v>
      </c>
    </row>
    <row r="15" spans="1:10">
      <c r="A15" s="5">
        <v>44942</v>
      </c>
      <c r="B15">
        <v>1</v>
      </c>
      <c r="C15" s="3" t="s">
        <v>0</v>
      </c>
      <c r="D15" t="s">
        <v>46</v>
      </c>
      <c r="E15" t="s">
        <v>50</v>
      </c>
      <c r="F15">
        <v>364</v>
      </c>
      <c r="G15">
        <v>5</v>
      </c>
      <c r="H15" s="3">
        <v>500</v>
      </c>
      <c r="I15" s="3">
        <v>1000</v>
      </c>
      <c r="J15" s="3" t="s">
        <v>10</v>
      </c>
    </row>
    <row r="16" spans="1:10">
      <c r="A16" s="5">
        <v>44942</v>
      </c>
      <c r="B16">
        <v>1</v>
      </c>
      <c r="C16" s="3" t="s">
        <v>1</v>
      </c>
      <c r="D16" t="s">
        <v>46</v>
      </c>
      <c r="E16" t="s">
        <v>50</v>
      </c>
      <c r="F16">
        <v>365</v>
      </c>
      <c r="G16">
        <v>5</v>
      </c>
      <c r="H16" s="3">
        <v>500</v>
      </c>
      <c r="I16" s="3">
        <v>1000</v>
      </c>
      <c r="J16" s="3" t="s">
        <v>7</v>
      </c>
    </row>
    <row r="17" spans="1:10">
      <c r="A17" s="5">
        <v>44942</v>
      </c>
      <c r="B17">
        <v>1</v>
      </c>
      <c r="C17" s="3" t="s">
        <v>3</v>
      </c>
      <c r="D17" t="s">
        <v>45</v>
      </c>
      <c r="E17" t="s">
        <v>48</v>
      </c>
      <c r="F17">
        <v>366</v>
      </c>
      <c r="G17">
        <v>30</v>
      </c>
      <c r="H17" s="3">
        <v>1000</v>
      </c>
      <c r="I17" s="3">
        <v>200</v>
      </c>
      <c r="J17" s="3" t="s">
        <v>17</v>
      </c>
    </row>
    <row r="18" spans="1:10">
      <c r="A18" s="5">
        <v>44944</v>
      </c>
      <c r="B18">
        <v>1</v>
      </c>
      <c r="C18" s="3" t="s">
        <v>0</v>
      </c>
      <c r="D18" t="s">
        <v>45</v>
      </c>
      <c r="E18" t="s">
        <v>48</v>
      </c>
      <c r="F18">
        <v>367</v>
      </c>
      <c r="G18">
        <v>30</v>
      </c>
      <c r="H18" s="3">
        <v>1000</v>
      </c>
      <c r="I18" s="3">
        <v>200</v>
      </c>
      <c r="J18" s="3" t="s">
        <v>17</v>
      </c>
    </row>
    <row r="19" spans="1:10">
      <c r="A19" s="5">
        <v>44944</v>
      </c>
      <c r="B19">
        <v>1</v>
      </c>
      <c r="C19" s="3" t="s">
        <v>1</v>
      </c>
      <c r="D19" t="s">
        <v>45</v>
      </c>
      <c r="E19" t="s">
        <v>48</v>
      </c>
      <c r="F19">
        <v>368</v>
      </c>
      <c r="G19">
        <v>30</v>
      </c>
      <c r="H19" s="3">
        <v>1000</v>
      </c>
      <c r="I19" s="3">
        <v>200</v>
      </c>
      <c r="J19" s="3" t="s">
        <v>13</v>
      </c>
    </row>
    <row r="20" spans="1:10">
      <c r="A20" s="5">
        <v>44944</v>
      </c>
      <c r="B20">
        <v>1</v>
      </c>
      <c r="C20" s="3" t="s">
        <v>3</v>
      </c>
      <c r="D20" t="s">
        <v>45</v>
      </c>
      <c r="E20" t="s">
        <v>48</v>
      </c>
      <c r="F20">
        <v>369</v>
      </c>
      <c r="G20">
        <v>30</v>
      </c>
      <c r="H20" s="3">
        <v>1000</v>
      </c>
      <c r="I20" s="3">
        <v>200</v>
      </c>
      <c r="J20" s="3" t="s">
        <v>25</v>
      </c>
    </row>
    <row r="21" spans="1:10">
      <c r="A21" s="5">
        <v>44944</v>
      </c>
      <c r="B21">
        <v>1</v>
      </c>
      <c r="C21" s="3" t="s">
        <v>0</v>
      </c>
      <c r="D21" t="s">
        <v>45</v>
      </c>
      <c r="E21" t="s">
        <v>48</v>
      </c>
      <c r="F21">
        <v>370</v>
      </c>
      <c r="G21">
        <v>30</v>
      </c>
      <c r="H21" s="3">
        <v>1000</v>
      </c>
      <c r="I21" s="3">
        <v>200</v>
      </c>
      <c r="J21" s="3" t="s">
        <v>7</v>
      </c>
    </row>
    <row r="22" spans="1:10">
      <c r="A22" s="5">
        <v>44946</v>
      </c>
      <c r="B22">
        <v>1</v>
      </c>
      <c r="C22" s="3" t="s">
        <v>1</v>
      </c>
      <c r="D22" t="s">
        <v>45</v>
      </c>
      <c r="E22" t="s">
        <v>48</v>
      </c>
      <c r="F22">
        <v>371</v>
      </c>
      <c r="G22">
        <v>30</v>
      </c>
      <c r="H22" s="3">
        <v>1000</v>
      </c>
      <c r="I22" s="3">
        <v>200</v>
      </c>
      <c r="J22" s="3" t="s">
        <v>5</v>
      </c>
    </row>
    <row r="23" spans="1:10">
      <c r="A23" s="5">
        <v>44946</v>
      </c>
      <c r="B23">
        <v>1</v>
      </c>
      <c r="C23" s="3" t="s">
        <v>3</v>
      </c>
      <c r="D23" t="s">
        <v>45</v>
      </c>
      <c r="E23" t="s">
        <v>48</v>
      </c>
      <c r="F23">
        <v>372</v>
      </c>
      <c r="G23">
        <v>30</v>
      </c>
      <c r="H23" s="3">
        <v>1000</v>
      </c>
      <c r="I23" s="3">
        <v>200</v>
      </c>
      <c r="J23" s="3" t="s">
        <v>19</v>
      </c>
    </row>
    <row r="24" spans="1:10">
      <c r="A24" s="5">
        <v>44946</v>
      </c>
      <c r="B24">
        <v>1</v>
      </c>
      <c r="C24" s="3" t="s">
        <v>0</v>
      </c>
      <c r="D24" t="s">
        <v>45</v>
      </c>
      <c r="E24" t="s">
        <v>48</v>
      </c>
      <c r="F24">
        <v>373</v>
      </c>
      <c r="G24">
        <v>20</v>
      </c>
      <c r="H24" s="3">
        <v>1000</v>
      </c>
      <c r="I24" s="3">
        <v>2500</v>
      </c>
      <c r="J24" s="3" t="s">
        <v>15</v>
      </c>
    </row>
    <row r="25" spans="1:10">
      <c r="A25" s="5">
        <v>44946</v>
      </c>
      <c r="B25">
        <v>1</v>
      </c>
      <c r="C25" s="3" t="s">
        <v>1</v>
      </c>
      <c r="D25" t="s">
        <v>47</v>
      </c>
      <c r="E25" t="s">
        <v>49</v>
      </c>
      <c r="F25">
        <v>374</v>
      </c>
      <c r="G25">
        <v>5</v>
      </c>
      <c r="H25" s="3">
        <v>500</v>
      </c>
      <c r="I25" s="3">
        <v>1000</v>
      </c>
      <c r="J25" s="3" t="s">
        <v>4</v>
      </c>
    </row>
    <row r="26" spans="1:10">
      <c r="A26" s="5">
        <v>44948</v>
      </c>
      <c r="B26">
        <v>1</v>
      </c>
      <c r="C26" s="3" t="s">
        <v>3</v>
      </c>
      <c r="D26" t="s">
        <v>47</v>
      </c>
      <c r="E26" t="s">
        <v>49</v>
      </c>
      <c r="F26">
        <v>375</v>
      </c>
      <c r="G26">
        <v>5</v>
      </c>
      <c r="H26" s="3">
        <v>500</v>
      </c>
      <c r="I26" s="3">
        <v>1000</v>
      </c>
      <c r="J26" s="3" t="s">
        <v>15</v>
      </c>
    </row>
    <row r="27" spans="1:10">
      <c r="A27" s="5">
        <v>44948</v>
      </c>
      <c r="B27">
        <v>1</v>
      </c>
      <c r="C27" s="3" t="s">
        <v>0</v>
      </c>
      <c r="D27" t="s">
        <v>45</v>
      </c>
      <c r="E27" t="s">
        <v>48</v>
      </c>
      <c r="F27">
        <v>376</v>
      </c>
      <c r="G27">
        <v>40</v>
      </c>
      <c r="H27">
        <v>1000</v>
      </c>
      <c r="I27">
        <v>10</v>
      </c>
      <c r="J27" s="3" t="s">
        <v>15</v>
      </c>
    </row>
    <row r="28" spans="1:10">
      <c r="A28" s="5">
        <v>44948</v>
      </c>
      <c r="B28">
        <v>1</v>
      </c>
      <c r="C28" s="3" t="s">
        <v>1</v>
      </c>
      <c r="D28" t="s">
        <v>45</v>
      </c>
      <c r="E28" t="s">
        <v>48</v>
      </c>
      <c r="F28">
        <v>377</v>
      </c>
      <c r="G28">
        <v>40</v>
      </c>
      <c r="H28">
        <v>1000</v>
      </c>
      <c r="I28">
        <v>10</v>
      </c>
      <c r="J28" s="3" t="s">
        <v>15</v>
      </c>
    </row>
    <row r="29" spans="1:10">
      <c r="A29" s="5">
        <v>44948</v>
      </c>
      <c r="B29">
        <v>1</v>
      </c>
      <c r="C29" s="3" t="s">
        <v>3</v>
      </c>
      <c r="D29" t="s">
        <v>45</v>
      </c>
      <c r="E29" t="s">
        <v>48</v>
      </c>
      <c r="F29">
        <v>378</v>
      </c>
      <c r="G29">
        <v>40</v>
      </c>
      <c r="H29">
        <v>1000</v>
      </c>
      <c r="I29">
        <v>10</v>
      </c>
      <c r="J29" s="3" t="s">
        <v>15</v>
      </c>
    </row>
    <row r="30" spans="1:10">
      <c r="A30" s="5">
        <v>44950</v>
      </c>
      <c r="B30">
        <v>1</v>
      </c>
      <c r="C30" s="3" t="s">
        <v>0</v>
      </c>
      <c r="D30" t="s">
        <v>45</v>
      </c>
      <c r="E30" t="s">
        <v>48</v>
      </c>
      <c r="F30">
        <v>379</v>
      </c>
      <c r="G30">
        <v>40</v>
      </c>
      <c r="H30">
        <v>1000</v>
      </c>
      <c r="I30">
        <v>10</v>
      </c>
      <c r="J30" s="3" t="s">
        <v>4</v>
      </c>
    </row>
    <row r="31" spans="1:10">
      <c r="A31" s="5">
        <v>44950</v>
      </c>
      <c r="B31">
        <v>1</v>
      </c>
      <c r="C31" s="3" t="s">
        <v>1</v>
      </c>
      <c r="D31" t="s">
        <v>45</v>
      </c>
      <c r="E31" t="s">
        <v>48</v>
      </c>
      <c r="F31">
        <v>380</v>
      </c>
      <c r="G31">
        <v>40</v>
      </c>
      <c r="H31">
        <v>1000</v>
      </c>
      <c r="I31">
        <v>10</v>
      </c>
      <c r="J31" s="3" t="s">
        <v>6</v>
      </c>
    </row>
    <row r="32" spans="1:10">
      <c r="A32" s="5">
        <v>44950</v>
      </c>
      <c r="B32">
        <v>1</v>
      </c>
      <c r="C32" s="3" t="s">
        <v>3</v>
      </c>
      <c r="D32" t="s">
        <v>47</v>
      </c>
      <c r="E32" t="s">
        <v>49</v>
      </c>
      <c r="F32">
        <v>381</v>
      </c>
      <c r="G32">
        <v>40</v>
      </c>
      <c r="H32">
        <v>1000</v>
      </c>
      <c r="I32">
        <v>10</v>
      </c>
      <c r="J32" s="3" t="s">
        <v>15</v>
      </c>
    </row>
    <row r="33" spans="1:10">
      <c r="A33" s="5">
        <v>44950</v>
      </c>
      <c r="B33">
        <v>1</v>
      </c>
      <c r="C33" s="3" t="s">
        <v>0</v>
      </c>
      <c r="D33" t="s">
        <v>47</v>
      </c>
      <c r="E33" t="s">
        <v>49</v>
      </c>
      <c r="F33">
        <v>382</v>
      </c>
      <c r="G33">
        <v>40</v>
      </c>
      <c r="H33">
        <v>1000</v>
      </c>
      <c r="I33">
        <v>10</v>
      </c>
      <c r="J33" s="3" t="s">
        <v>13</v>
      </c>
    </row>
    <row r="34" spans="1:10">
      <c r="A34" s="5">
        <v>44952</v>
      </c>
      <c r="B34">
        <v>1</v>
      </c>
      <c r="C34" s="3" t="s">
        <v>1</v>
      </c>
      <c r="D34" t="s">
        <v>46</v>
      </c>
      <c r="E34" t="s">
        <v>50</v>
      </c>
      <c r="F34">
        <v>383</v>
      </c>
      <c r="G34">
        <v>40</v>
      </c>
      <c r="H34">
        <v>1000</v>
      </c>
      <c r="I34">
        <v>10</v>
      </c>
      <c r="J34" s="3" t="s">
        <v>10</v>
      </c>
    </row>
    <row r="35" spans="1:10">
      <c r="A35" s="5">
        <v>44952</v>
      </c>
      <c r="B35">
        <v>1</v>
      </c>
      <c r="C35" s="3" t="s">
        <v>3</v>
      </c>
      <c r="D35" t="s">
        <v>46</v>
      </c>
      <c r="E35" t="s">
        <v>50</v>
      </c>
      <c r="F35">
        <v>384</v>
      </c>
      <c r="G35">
        <v>10</v>
      </c>
      <c r="H35">
        <v>1500</v>
      </c>
      <c r="I35">
        <v>4</v>
      </c>
      <c r="J35" s="3" t="s">
        <v>18</v>
      </c>
    </row>
    <row r="36" spans="1:10">
      <c r="A36" s="5">
        <v>44952</v>
      </c>
      <c r="B36">
        <v>1</v>
      </c>
      <c r="C36" s="3" t="s">
        <v>0</v>
      </c>
      <c r="D36" t="s">
        <v>46</v>
      </c>
      <c r="E36" t="s">
        <v>50</v>
      </c>
      <c r="F36">
        <v>385</v>
      </c>
      <c r="G36">
        <v>10</v>
      </c>
      <c r="H36">
        <v>1500</v>
      </c>
      <c r="I36">
        <v>4</v>
      </c>
      <c r="J36" s="3" t="s">
        <v>17</v>
      </c>
    </row>
    <row r="37" spans="1:10">
      <c r="A37" s="5">
        <v>44952</v>
      </c>
      <c r="B37">
        <v>1</v>
      </c>
      <c r="C37" s="3" t="s">
        <v>1</v>
      </c>
      <c r="D37" t="s">
        <v>46</v>
      </c>
      <c r="E37" t="s">
        <v>50</v>
      </c>
      <c r="F37">
        <v>386</v>
      </c>
      <c r="G37">
        <v>10</v>
      </c>
      <c r="H37">
        <v>1500</v>
      </c>
      <c r="I37">
        <v>4</v>
      </c>
      <c r="J37" s="3" t="s">
        <v>6</v>
      </c>
    </row>
    <row r="38" spans="1:10">
      <c r="A38" s="5">
        <v>44954</v>
      </c>
      <c r="B38">
        <v>1</v>
      </c>
      <c r="C38" s="3" t="s">
        <v>3</v>
      </c>
      <c r="D38" t="s">
        <v>46</v>
      </c>
      <c r="E38" t="s">
        <v>50</v>
      </c>
      <c r="F38">
        <v>387</v>
      </c>
      <c r="G38">
        <v>10</v>
      </c>
      <c r="H38">
        <v>1500</v>
      </c>
      <c r="I38">
        <v>4</v>
      </c>
      <c r="J38" s="3" t="s">
        <v>7</v>
      </c>
    </row>
    <row r="39" spans="1:10">
      <c r="A39" s="5">
        <v>44954</v>
      </c>
      <c r="B39">
        <v>1</v>
      </c>
      <c r="C39" s="3" t="s">
        <v>0</v>
      </c>
      <c r="D39" t="s">
        <v>46</v>
      </c>
      <c r="E39" t="s">
        <v>50</v>
      </c>
      <c r="F39">
        <v>388</v>
      </c>
      <c r="G39">
        <v>5</v>
      </c>
      <c r="H39">
        <v>200</v>
      </c>
      <c r="I39">
        <v>8</v>
      </c>
      <c r="J39" s="3" t="s">
        <v>15</v>
      </c>
    </row>
    <row r="40" spans="1:10">
      <c r="A40" s="5">
        <v>44954</v>
      </c>
      <c r="B40">
        <v>1</v>
      </c>
      <c r="C40" s="3" t="s">
        <v>1</v>
      </c>
      <c r="D40" t="s">
        <v>45</v>
      </c>
      <c r="E40" t="s">
        <v>48</v>
      </c>
      <c r="F40">
        <v>389</v>
      </c>
      <c r="G40">
        <v>5</v>
      </c>
      <c r="H40">
        <v>200</v>
      </c>
      <c r="I40">
        <v>8</v>
      </c>
      <c r="J40" s="3" t="s">
        <v>15</v>
      </c>
    </row>
    <row r="41" spans="1:10">
      <c r="A41" s="5">
        <v>44954</v>
      </c>
      <c r="B41">
        <v>1</v>
      </c>
      <c r="C41" s="3" t="s">
        <v>3</v>
      </c>
      <c r="D41" t="s">
        <v>45</v>
      </c>
      <c r="E41" t="s">
        <v>48</v>
      </c>
      <c r="F41">
        <v>390</v>
      </c>
      <c r="G41">
        <v>5</v>
      </c>
      <c r="H41">
        <v>200</v>
      </c>
      <c r="I41">
        <v>8</v>
      </c>
      <c r="J41" s="3" t="s">
        <v>5</v>
      </c>
    </row>
    <row r="42" spans="1:10">
      <c r="A42" s="5">
        <v>44956</v>
      </c>
      <c r="B42">
        <v>1</v>
      </c>
      <c r="C42" s="3" t="s">
        <v>0</v>
      </c>
      <c r="D42" t="s">
        <v>45</v>
      </c>
      <c r="E42" t="s">
        <v>48</v>
      </c>
      <c r="F42">
        <v>391</v>
      </c>
      <c r="G42">
        <v>5</v>
      </c>
      <c r="H42">
        <v>200</v>
      </c>
      <c r="I42">
        <v>8</v>
      </c>
      <c r="J42" s="3" t="s">
        <v>15</v>
      </c>
    </row>
    <row r="43" spans="1:10">
      <c r="A43" s="5">
        <v>44956</v>
      </c>
      <c r="B43">
        <v>1</v>
      </c>
      <c r="C43" s="3" t="s">
        <v>1</v>
      </c>
      <c r="D43" t="s">
        <v>45</v>
      </c>
      <c r="E43" t="s">
        <v>48</v>
      </c>
      <c r="F43">
        <v>392</v>
      </c>
      <c r="G43">
        <v>5</v>
      </c>
      <c r="H43">
        <v>200</v>
      </c>
      <c r="I43">
        <v>8</v>
      </c>
      <c r="J43" s="3" t="s">
        <v>5</v>
      </c>
    </row>
    <row r="44" spans="1:10">
      <c r="A44" s="5">
        <v>44956</v>
      </c>
      <c r="B44">
        <v>1</v>
      </c>
      <c r="C44" s="3" t="s">
        <v>3</v>
      </c>
      <c r="D44" t="s">
        <v>45</v>
      </c>
      <c r="E44" t="s">
        <v>48</v>
      </c>
      <c r="F44">
        <v>393</v>
      </c>
      <c r="G44">
        <v>5</v>
      </c>
      <c r="H44">
        <v>200</v>
      </c>
      <c r="I44">
        <v>8</v>
      </c>
      <c r="J44" s="3" t="s">
        <v>5</v>
      </c>
    </row>
    <row r="45" spans="1:10">
      <c r="A45" s="5">
        <v>44956</v>
      </c>
      <c r="B45">
        <v>1</v>
      </c>
      <c r="C45" s="3" t="s">
        <v>0</v>
      </c>
      <c r="D45" t="s">
        <v>47</v>
      </c>
      <c r="E45" t="s">
        <v>49</v>
      </c>
      <c r="F45">
        <v>394</v>
      </c>
      <c r="G45">
        <v>5</v>
      </c>
      <c r="H45">
        <v>200</v>
      </c>
      <c r="I45">
        <v>8</v>
      </c>
      <c r="J45" s="3" t="s">
        <v>5</v>
      </c>
    </row>
    <row r="46" spans="1:10">
      <c r="A46" s="5">
        <v>44958</v>
      </c>
      <c r="B46">
        <v>1</v>
      </c>
      <c r="C46" s="3" t="s">
        <v>1</v>
      </c>
      <c r="D46" t="s">
        <v>47</v>
      </c>
      <c r="E46" t="s">
        <v>49</v>
      </c>
      <c r="F46">
        <v>395</v>
      </c>
      <c r="G46">
        <v>5</v>
      </c>
      <c r="H46">
        <v>200</v>
      </c>
      <c r="I46">
        <v>8</v>
      </c>
      <c r="J46" s="3" t="s">
        <v>4</v>
      </c>
    </row>
    <row r="47" spans="1:10">
      <c r="A47" s="5">
        <v>44958</v>
      </c>
      <c r="B47">
        <v>1</v>
      </c>
      <c r="C47" s="3" t="s">
        <v>3</v>
      </c>
      <c r="D47" t="s">
        <v>45</v>
      </c>
      <c r="E47" t="s">
        <v>48</v>
      </c>
      <c r="F47">
        <v>396</v>
      </c>
      <c r="G47">
        <v>5</v>
      </c>
      <c r="H47">
        <v>200</v>
      </c>
      <c r="I47">
        <v>8</v>
      </c>
      <c r="J47" s="3" t="s">
        <v>16</v>
      </c>
    </row>
    <row r="48" spans="1:10">
      <c r="A48" s="5">
        <v>44958</v>
      </c>
      <c r="B48">
        <v>1</v>
      </c>
      <c r="C48" s="3" t="s">
        <v>0</v>
      </c>
      <c r="D48" t="s">
        <v>45</v>
      </c>
      <c r="E48" t="s">
        <v>48</v>
      </c>
      <c r="F48">
        <v>397</v>
      </c>
      <c r="G48">
        <v>5</v>
      </c>
      <c r="H48">
        <v>200</v>
      </c>
      <c r="I48">
        <v>8</v>
      </c>
      <c r="J48" s="3" t="s">
        <v>10</v>
      </c>
    </row>
    <row r="49" spans="1:10">
      <c r="A49" s="5">
        <v>44958</v>
      </c>
      <c r="B49">
        <v>1</v>
      </c>
      <c r="C49" s="3" t="s">
        <v>1</v>
      </c>
      <c r="D49" t="s">
        <v>45</v>
      </c>
      <c r="E49" t="s">
        <v>48</v>
      </c>
      <c r="F49">
        <v>398</v>
      </c>
      <c r="G49">
        <v>5</v>
      </c>
      <c r="H49">
        <v>200</v>
      </c>
      <c r="I49">
        <v>8</v>
      </c>
      <c r="J49" s="3" t="s">
        <v>17</v>
      </c>
    </row>
    <row r="50" spans="1:10">
      <c r="A50" s="5">
        <v>44960</v>
      </c>
      <c r="B50">
        <v>1</v>
      </c>
      <c r="C50" s="3" t="s">
        <v>3</v>
      </c>
      <c r="D50" t="s">
        <v>45</v>
      </c>
      <c r="E50" t="s">
        <v>48</v>
      </c>
      <c r="F50">
        <v>399</v>
      </c>
      <c r="G50">
        <v>60</v>
      </c>
      <c r="H50">
        <v>5000</v>
      </c>
      <c r="I50">
        <v>30</v>
      </c>
      <c r="J50" s="3" t="s">
        <v>17</v>
      </c>
    </row>
    <row r="51" spans="1:10">
      <c r="A51" s="5">
        <v>44960</v>
      </c>
      <c r="B51">
        <v>1</v>
      </c>
      <c r="C51" s="3" t="s">
        <v>0</v>
      </c>
      <c r="D51" t="s">
        <v>45</v>
      </c>
      <c r="E51" t="s">
        <v>48</v>
      </c>
      <c r="F51">
        <v>400</v>
      </c>
      <c r="G51">
        <v>60</v>
      </c>
      <c r="H51">
        <v>5000</v>
      </c>
      <c r="I51">
        <v>30</v>
      </c>
      <c r="J51" s="3" t="s">
        <v>24</v>
      </c>
    </row>
    <row r="52" spans="1:10">
      <c r="A52" s="5">
        <v>44960</v>
      </c>
      <c r="B52">
        <v>1</v>
      </c>
      <c r="C52" s="3" t="s">
        <v>1</v>
      </c>
      <c r="D52" t="s">
        <v>47</v>
      </c>
      <c r="E52" t="s">
        <v>49</v>
      </c>
      <c r="F52">
        <v>401</v>
      </c>
      <c r="G52">
        <v>60</v>
      </c>
      <c r="H52">
        <v>5000</v>
      </c>
      <c r="I52">
        <v>30</v>
      </c>
      <c r="J52" s="3" t="s">
        <v>24</v>
      </c>
    </row>
    <row r="53" spans="1:10">
      <c r="A53" s="5">
        <v>44960</v>
      </c>
      <c r="B53">
        <v>1</v>
      </c>
      <c r="C53" s="3" t="s">
        <v>3</v>
      </c>
      <c r="D53" t="s">
        <v>47</v>
      </c>
      <c r="E53" t="s">
        <v>49</v>
      </c>
      <c r="F53">
        <v>402</v>
      </c>
      <c r="G53">
        <v>60</v>
      </c>
      <c r="H53">
        <v>5000</v>
      </c>
      <c r="I53">
        <v>30</v>
      </c>
      <c r="J53" s="3" t="s">
        <v>15</v>
      </c>
    </row>
    <row r="54" spans="1:10">
      <c r="A54" s="5">
        <v>44962</v>
      </c>
      <c r="B54">
        <v>1</v>
      </c>
      <c r="C54" s="3" t="s">
        <v>0</v>
      </c>
      <c r="D54" t="s">
        <v>46</v>
      </c>
      <c r="E54" t="s">
        <v>50</v>
      </c>
      <c r="F54">
        <v>403</v>
      </c>
      <c r="G54">
        <v>60</v>
      </c>
      <c r="H54">
        <v>5000</v>
      </c>
      <c r="I54">
        <v>30</v>
      </c>
      <c r="J54" s="3" t="s">
        <v>10</v>
      </c>
    </row>
    <row r="55" spans="1:10">
      <c r="A55" s="5">
        <v>44962</v>
      </c>
      <c r="B55">
        <v>1</v>
      </c>
      <c r="C55" s="3" t="s">
        <v>1</v>
      </c>
      <c r="D55" t="s">
        <v>47</v>
      </c>
      <c r="E55" t="s">
        <v>49</v>
      </c>
      <c r="F55">
        <v>404</v>
      </c>
      <c r="G55">
        <v>60</v>
      </c>
      <c r="H55">
        <v>5000</v>
      </c>
      <c r="I55">
        <v>30</v>
      </c>
      <c r="J55" s="3" t="s">
        <v>6</v>
      </c>
    </row>
    <row r="56" spans="1:10">
      <c r="A56" s="5">
        <v>44962</v>
      </c>
      <c r="B56">
        <v>1</v>
      </c>
      <c r="C56" s="3" t="s">
        <v>3</v>
      </c>
      <c r="D56" t="s">
        <v>47</v>
      </c>
      <c r="E56" t="s">
        <v>49</v>
      </c>
      <c r="F56">
        <v>405</v>
      </c>
      <c r="G56">
        <v>60</v>
      </c>
      <c r="H56">
        <v>5000</v>
      </c>
      <c r="I56">
        <v>30</v>
      </c>
      <c r="J56" s="3" t="s">
        <v>6</v>
      </c>
    </row>
    <row r="57" spans="1:10">
      <c r="A57" s="5">
        <v>44962</v>
      </c>
      <c r="B57">
        <v>1</v>
      </c>
      <c r="C57" s="3" t="s">
        <v>0</v>
      </c>
      <c r="D57" t="s">
        <v>47</v>
      </c>
      <c r="E57" t="s">
        <v>49</v>
      </c>
      <c r="F57">
        <v>406</v>
      </c>
      <c r="G57">
        <v>60</v>
      </c>
      <c r="H57">
        <v>5000</v>
      </c>
      <c r="I57">
        <v>30</v>
      </c>
      <c r="J57" s="3" t="s">
        <v>24</v>
      </c>
    </row>
    <row r="58" spans="1:10">
      <c r="A58" s="5">
        <v>44964</v>
      </c>
      <c r="B58">
        <v>1</v>
      </c>
      <c r="C58" s="3" t="s">
        <v>1</v>
      </c>
      <c r="D58" t="s">
        <v>47</v>
      </c>
      <c r="E58" t="s">
        <v>49</v>
      </c>
      <c r="F58">
        <v>407</v>
      </c>
      <c r="G58">
        <v>60</v>
      </c>
      <c r="H58">
        <v>5000</v>
      </c>
      <c r="I58">
        <v>30</v>
      </c>
      <c r="J58" s="3" t="s">
        <v>6</v>
      </c>
    </row>
    <row r="59" spans="1:10">
      <c r="A59" s="5">
        <v>44964</v>
      </c>
      <c r="B59">
        <v>1</v>
      </c>
      <c r="C59" s="3" t="s">
        <v>3</v>
      </c>
      <c r="D59" t="s">
        <v>47</v>
      </c>
      <c r="E59" t="s">
        <v>49</v>
      </c>
      <c r="F59">
        <v>408</v>
      </c>
      <c r="G59">
        <v>60</v>
      </c>
      <c r="H59">
        <v>5000</v>
      </c>
      <c r="I59">
        <v>30</v>
      </c>
      <c r="J59" s="3" t="s">
        <v>7</v>
      </c>
    </row>
    <row r="60" spans="1:10">
      <c r="A60" s="5">
        <v>44964</v>
      </c>
      <c r="B60">
        <v>1</v>
      </c>
      <c r="C60" s="3" t="s">
        <v>0</v>
      </c>
      <c r="D60" t="s">
        <v>47</v>
      </c>
      <c r="E60" t="s">
        <v>49</v>
      </c>
      <c r="F60">
        <v>409</v>
      </c>
      <c r="G60">
        <v>60</v>
      </c>
      <c r="H60">
        <v>5000</v>
      </c>
      <c r="I60">
        <v>30</v>
      </c>
      <c r="J60" s="3" t="s">
        <v>13</v>
      </c>
    </row>
    <row r="61" spans="1:10">
      <c r="A61" s="5">
        <v>44964</v>
      </c>
      <c r="B61">
        <v>1</v>
      </c>
      <c r="C61" s="3" t="s">
        <v>1</v>
      </c>
      <c r="D61" t="s">
        <v>46</v>
      </c>
      <c r="E61" t="s">
        <v>50</v>
      </c>
      <c r="F61">
        <v>410</v>
      </c>
      <c r="G61">
        <v>60</v>
      </c>
      <c r="H61">
        <v>5000</v>
      </c>
      <c r="I61">
        <v>30</v>
      </c>
      <c r="J61" s="3" t="s">
        <v>18</v>
      </c>
    </row>
    <row r="62" spans="1:10">
      <c r="A62" s="5">
        <v>44966</v>
      </c>
      <c r="B62">
        <v>1</v>
      </c>
      <c r="C62" s="3" t="s">
        <v>3</v>
      </c>
      <c r="D62" t="s">
        <v>46</v>
      </c>
      <c r="E62" t="s">
        <v>50</v>
      </c>
      <c r="F62">
        <v>411</v>
      </c>
      <c r="G62">
        <v>60</v>
      </c>
      <c r="H62">
        <v>5000</v>
      </c>
      <c r="I62">
        <v>30</v>
      </c>
      <c r="J62" s="3" t="s">
        <v>9</v>
      </c>
    </row>
    <row r="63" spans="1:10">
      <c r="A63" s="5">
        <v>44966</v>
      </c>
      <c r="B63">
        <v>1</v>
      </c>
      <c r="C63" s="3" t="s">
        <v>0</v>
      </c>
      <c r="D63" t="s">
        <v>46</v>
      </c>
      <c r="E63" t="s">
        <v>50</v>
      </c>
      <c r="F63">
        <v>412</v>
      </c>
      <c r="G63">
        <v>80</v>
      </c>
      <c r="H63">
        <v>2500</v>
      </c>
      <c r="I63">
        <v>20</v>
      </c>
      <c r="J63" s="3" t="s">
        <v>10</v>
      </c>
    </row>
    <row r="64" spans="1:10">
      <c r="A64" s="5">
        <v>44966</v>
      </c>
      <c r="B64">
        <v>1</v>
      </c>
      <c r="C64" s="3" t="s">
        <v>1</v>
      </c>
      <c r="D64" t="s">
        <v>46</v>
      </c>
      <c r="E64" t="s">
        <v>50</v>
      </c>
      <c r="F64">
        <v>413</v>
      </c>
      <c r="G64">
        <v>80</v>
      </c>
      <c r="H64">
        <v>2500</v>
      </c>
      <c r="I64">
        <v>20</v>
      </c>
      <c r="J64" s="3" t="s">
        <v>17</v>
      </c>
    </row>
    <row r="65" spans="1:10">
      <c r="A65" s="5">
        <v>44966</v>
      </c>
      <c r="B65">
        <v>1</v>
      </c>
      <c r="C65" s="3" t="s">
        <v>3</v>
      </c>
      <c r="D65" t="s">
        <v>46</v>
      </c>
      <c r="E65" t="s">
        <v>50</v>
      </c>
      <c r="F65">
        <v>414</v>
      </c>
      <c r="G65">
        <v>80</v>
      </c>
      <c r="H65">
        <v>2500</v>
      </c>
      <c r="I65">
        <v>20</v>
      </c>
      <c r="J65" s="3" t="s">
        <v>13</v>
      </c>
    </row>
    <row r="66" spans="1:10">
      <c r="A66" s="5">
        <v>44968</v>
      </c>
      <c r="B66">
        <v>1</v>
      </c>
      <c r="C66" s="3" t="s">
        <v>0</v>
      </c>
      <c r="D66" t="s">
        <v>46</v>
      </c>
      <c r="E66" t="s">
        <v>50</v>
      </c>
      <c r="F66">
        <v>415</v>
      </c>
      <c r="G66">
        <v>80</v>
      </c>
      <c r="H66">
        <v>2500</v>
      </c>
      <c r="I66">
        <v>20</v>
      </c>
      <c r="J66" s="3" t="s">
        <v>6</v>
      </c>
    </row>
    <row r="67" spans="1:10">
      <c r="A67" s="5">
        <v>44968</v>
      </c>
      <c r="B67">
        <v>1</v>
      </c>
      <c r="C67" s="3" t="s">
        <v>1</v>
      </c>
      <c r="D67" t="s">
        <v>46</v>
      </c>
      <c r="E67" t="s">
        <v>50</v>
      </c>
      <c r="F67">
        <v>416</v>
      </c>
      <c r="G67">
        <v>80</v>
      </c>
      <c r="H67">
        <v>2500</v>
      </c>
      <c r="I67">
        <v>20</v>
      </c>
      <c r="J67" s="3" t="s">
        <v>6</v>
      </c>
    </row>
    <row r="68" spans="1:10">
      <c r="A68" s="5">
        <v>44968</v>
      </c>
      <c r="B68">
        <v>1</v>
      </c>
      <c r="C68" s="3" t="s">
        <v>3</v>
      </c>
      <c r="D68" t="s">
        <v>46</v>
      </c>
      <c r="E68" t="s">
        <v>50</v>
      </c>
      <c r="F68">
        <v>417</v>
      </c>
      <c r="G68">
        <v>80</v>
      </c>
      <c r="H68">
        <v>2500</v>
      </c>
      <c r="I68">
        <v>20</v>
      </c>
      <c r="J68" s="3" t="s">
        <v>6</v>
      </c>
    </row>
    <row r="69" spans="1:10">
      <c r="A69" s="5">
        <v>44968</v>
      </c>
      <c r="B69">
        <v>1</v>
      </c>
      <c r="C69" s="3" t="s">
        <v>0</v>
      </c>
      <c r="D69" t="s">
        <v>46</v>
      </c>
      <c r="E69" t="s">
        <v>50</v>
      </c>
      <c r="F69">
        <v>418</v>
      </c>
      <c r="G69">
        <v>80</v>
      </c>
      <c r="H69">
        <v>2500</v>
      </c>
      <c r="I69">
        <v>20</v>
      </c>
      <c r="J69" s="3" t="s">
        <v>15</v>
      </c>
    </row>
    <row r="70" spans="1:10">
      <c r="A70" s="5">
        <v>44970</v>
      </c>
      <c r="B70">
        <v>1</v>
      </c>
      <c r="C70" s="3" t="s">
        <v>1</v>
      </c>
      <c r="D70" t="s">
        <v>45</v>
      </c>
      <c r="E70" t="s">
        <v>48</v>
      </c>
      <c r="F70">
        <v>419</v>
      </c>
      <c r="G70">
        <v>80</v>
      </c>
      <c r="H70">
        <v>2500</v>
      </c>
      <c r="I70">
        <v>20</v>
      </c>
      <c r="J70" s="3" t="s">
        <v>15</v>
      </c>
    </row>
    <row r="71" spans="1:10">
      <c r="A71" s="5">
        <v>44970</v>
      </c>
      <c r="B71">
        <v>1</v>
      </c>
      <c r="C71" s="3" t="s">
        <v>3</v>
      </c>
      <c r="D71" t="s">
        <v>45</v>
      </c>
      <c r="E71" t="s">
        <v>48</v>
      </c>
      <c r="F71">
        <v>420</v>
      </c>
      <c r="G71">
        <v>80</v>
      </c>
      <c r="H71">
        <v>2500</v>
      </c>
      <c r="I71">
        <v>20</v>
      </c>
      <c r="J71" s="3" t="s">
        <v>15</v>
      </c>
    </row>
    <row r="72" spans="1:10">
      <c r="A72" s="5">
        <v>44970</v>
      </c>
      <c r="B72">
        <v>1</v>
      </c>
      <c r="C72" s="3" t="s">
        <v>0</v>
      </c>
      <c r="D72" t="s">
        <v>45</v>
      </c>
      <c r="E72" t="s">
        <v>48</v>
      </c>
      <c r="F72">
        <v>421</v>
      </c>
      <c r="G72">
        <v>80</v>
      </c>
      <c r="H72">
        <v>2500</v>
      </c>
      <c r="I72">
        <v>20</v>
      </c>
      <c r="J72" s="3" t="s">
        <v>2</v>
      </c>
    </row>
    <row r="73" spans="1:10">
      <c r="A73" s="5">
        <v>44970</v>
      </c>
      <c r="B73">
        <v>1</v>
      </c>
      <c r="C73" s="3" t="s">
        <v>1</v>
      </c>
      <c r="D73" t="s">
        <v>45</v>
      </c>
      <c r="E73" t="s">
        <v>48</v>
      </c>
      <c r="F73">
        <v>422</v>
      </c>
      <c r="G73">
        <v>80</v>
      </c>
      <c r="H73">
        <v>2500</v>
      </c>
      <c r="I73">
        <v>20</v>
      </c>
      <c r="J73" s="3" t="s">
        <v>5</v>
      </c>
    </row>
    <row r="74" spans="1:10">
      <c r="A74" s="5">
        <v>44972</v>
      </c>
      <c r="B74">
        <v>1</v>
      </c>
      <c r="C74" s="3" t="s">
        <v>3</v>
      </c>
      <c r="D74" t="s">
        <v>45</v>
      </c>
      <c r="E74" t="s">
        <v>48</v>
      </c>
      <c r="F74">
        <v>423</v>
      </c>
      <c r="G74">
        <v>80</v>
      </c>
      <c r="H74">
        <v>2500</v>
      </c>
      <c r="I74">
        <v>20</v>
      </c>
      <c r="J74" s="3" t="s">
        <v>17</v>
      </c>
    </row>
    <row r="75" spans="1:10">
      <c r="A75" s="5">
        <v>44972</v>
      </c>
      <c r="B75">
        <v>1</v>
      </c>
      <c r="C75" s="3" t="s">
        <v>0</v>
      </c>
      <c r="D75" t="s">
        <v>47</v>
      </c>
      <c r="E75" t="s">
        <v>49</v>
      </c>
      <c r="F75">
        <v>424</v>
      </c>
      <c r="G75">
        <v>80</v>
      </c>
      <c r="H75">
        <v>2500</v>
      </c>
      <c r="I75">
        <v>20</v>
      </c>
      <c r="J75" s="3" t="s">
        <v>28</v>
      </c>
    </row>
    <row r="76" spans="1:10">
      <c r="A76" s="5">
        <v>44972</v>
      </c>
      <c r="B76">
        <v>1</v>
      </c>
      <c r="C76" s="3" t="s">
        <v>1</v>
      </c>
      <c r="D76" t="s">
        <v>47</v>
      </c>
      <c r="E76" t="s">
        <v>49</v>
      </c>
      <c r="F76">
        <v>425</v>
      </c>
      <c r="G76">
        <v>80</v>
      </c>
      <c r="H76">
        <v>2500</v>
      </c>
      <c r="I76">
        <v>20</v>
      </c>
      <c r="J76" s="3" t="s">
        <v>29</v>
      </c>
    </row>
    <row r="77" spans="1:10">
      <c r="A77" s="5">
        <v>44972</v>
      </c>
      <c r="B77">
        <v>1</v>
      </c>
      <c r="C77" s="3" t="s">
        <v>3</v>
      </c>
      <c r="D77" t="s">
        <v>45</v>
      </c>
      <c r="E77" t="s">
        <v>48</v>
      </c>
      <c r="F77">
        <v>426</v>
      </c>
      <c r="G77">
        <v>4</v>
      </c>
      <c r="H77">
        <v>500</v>
      </c>
      <c r="I77">
        <v>300</v>
      </c>
      <c r="J77" s="3" t="s">
        <v>29</v>
      </c>
    </row>
    <row r="78" spans="1:10">
      <c r="A78" s="5">
        <v>44974</v>
      </c>
      <c r="B78">
        <v>1</v>
      </c>
      <c r="C78" s="3" t="s">
        <v>0</v>
      </c>
      <c r="D78" t="s">
        <v>45</v>
      </c>
      <c r="E78" t="s">
        <v>48</v>
      </c>
      <c r="F78">
        <v>427</v>
      </c>
      <c r="G78">
        <v>4</v>
      </c>
      <c r="H78">
        <v>500</v>
      </c>
      <c r="I78">
        <v>300</v>
      </c>
      <c r="J78" s="3" t="s">
        <v>29</v>
      </c>
    </row>
    <row r="79" spans="1:10">
      <c r="A79" s="5">
        <v>44974</v>
      </c>
      <c r="B79">
        <v>1</v>
      </c>
      <c r="C79" s="3" t="s">
        <v>1</v>
      </c>
      <c r="D79" t="s">
        <v>45</v>
      </c>
      <c r="E79" t="s">
        <v>48</v>
      </c>
      <c r="F79">
        <v>428</v>
      </c>
      <c r="G79">
        <v>5</v>
      </c>
      <c r="H79" s="3">
        <v>500</v>
      </c>
      <c r="I79" s="3">
        <v>1000</v>
      </c>
      <c r="J79" s="3" t="s">
        <v>7</v>
      </c>
    </row>
    <row r="80" spans="1:10">
      <c r="A80" s="5">
        <v>44974</v>
      </c>
      <c r="B80">
        <v>1</v>
      </c>
      <c r="C80" s="3" t="s">
        <v>3</v>
      </c>
      <c r="D80" t="s">
        <v>45</v>
      </c>
      <c r="E80" t="s">
        <v>48</v>
      </c>
      <c r="F80">
        <v>429</v>
      </c>
      <c r="G80">
        <v>5</v>
      </c>
      <c r="H80" s="3">
        <v>500</v>
      </c>
      <c r="I80" s="3">
        <v>1000</v>
      </c>
      <c r="J80" s="3" t="s">
        <v>7</v>
      </c>
    </row>
    <row r="81" spans="1:10">
      <c r="A81" s="5">
        <v>44974</v>
      </c>
      <c r="B81">
        <v>1</v>
      </c>
      <c r="C81" s="3" t="s">
        <v>0</v>
      </c>
      <c r="D81" t="s">
        <v>45</v>
      </c>
      <c r="E81" t="s">
        <v>48</v>
      </c>
      <c r="F81">
        <v>430</v>
      </c>
      <c r="G81">
        <v>30</v>
      </c>
      <c r="H81" s="3">
        <v>1000</v>
      </c>
      <c r="I81" s="3">
        <v>200</v>
      </c>
      <c r="J81" s="3" t="s">
        <v>19</v>
      </c>
    </row>
    <row r="82" spans="1:10">
      <c r="A82" s="5">
        <v>44976</v>
      </c>
      <c r="B82">
        <v>1</v>
      </c>
      <c r="C82" s="3" t="s">
        <v>1</v>
      </c>
      <c r="D82" t="s">
        <v>47</v>
      </c>
      <c r="E82" t="s">
        <v>49</v>
      </c>
      <c r="F82">
        <v>431</v>
      </c>
      <c r="G82">
        <v>30</v>
      </c>
      <c r="H82" s="3">
        <v>1000</v>
      </c>
      <c r="I82" s="3">
        <v>200</v>
      </c>
      <c r="J82" s="3" t="s">
        <v>10</v>
      </c>
    </row>
    <row r="83" spans="1:10">
      <c r="A83" s="5">
        <v>44976</v>
      </c>
      <c r="B83">
        <v>1</v>
      </c>
      <c r="C83" s="3" t="s">
        <v>3</v>
      </c>
      <c r="D83" t="s">
        <v>47</v>
      </c>
      <c r="E83" t="s">
        <v>49</v>
      </c>
      <c r="F83">
        <v>432</v>
      </c>
      <c r="G83">
        <v>30</v>
      </c>
      <c r="H83" s="3">
        <v>1000</v>
      </c>
      <c r="I83" s="3">
        <v>200</v>
      </c>
      <c r="J83" s="3" t="s">
        <v>24</v>
      </c>
    </row>
    <row r="84" spans="1:10">
      <c r="A84" s="5">
        <v>44976</v>
      </c>
      <c r="B84">
        <v>1</v>
      </c>
      <c r="C84" s="3" t="s">
        <v>0</v>
      </c>
      <c r="D84" t="s">
        <v>46</v>
      </c>
      <c r="E84" t="s">
        <v>50</v>
      </c>
      <c r="F84">
        <v>433</v>
      </c>
      <c r="G84">
        <v>30</v>
      </c>
      <c r="H84" s="3">
        <v>1000</v>
      </c>
      <c r="I84" s="3">
        <v>200</v>
      </c>
      <c r="J84" s="3" t="s">
        <v>6</v>
      </c>
    </row>
    <row r="85" spans="1:10">
      <c r="A85" s="5">
        <v>44976</v>
      </c>
      <c r="B85">
        <v>1</v>
      </c>
      <c r="C85" s="3" t="s">
        <v>1</v>
      </c>
      <c r="D85" t="s">
        <v>47</v>
      </c>
      <c r="E85" t="s">
        <v>49</v>
      </c>
      <c r="F85">
        <v>434</v>
      </c>
      <c r="G85">
        <v>20</v>
      </c>
      <c r="H85" s="3">
        <v>1000</v>
      </c>
      <c r="I85" s="3">
        <v>2500</v>
      </c>
      <c r="J85" s="3" t="s">
        <v>31</v>
      </c>
    </row>
    <row r="86" spans="1:10">
      <c r="A86" s="5">
        <v>44978</v>
      </c>
      <c r="B86">
        <v>1</v>
      </c>
      <c r="C86" s="3" t="s">
        <v>3</v>
      </c>
      <c r="D86" t="s">
        <v>47</v>
      </c>
      <c r="E86" t="s">
        <v>49</v>
      </c>
      <c r="F86">
        <v>435</v>
      </c>
      <c r="G86">
        <v>5</v>
      </c>
      <c r="H86" s="3">
        <v>500</v>
      </c>
      <c r="I86" s="3">
        <v>1000</v>
      </c>
      <c r="J86" s="3" t="s">
        <v>15</v>
      </c>
    </row>
    <row r="87" spans="1:10">
      <c r="A87" s="5">
        <v>44978</v>
      </c>
      <c r="B87">
        <v>1</v>
      </c>
      <c r="C87" s="3" t="s">
        <v>0</v>
      </c>
      <c r="D87" t="s">
        <v>47</v>
      </c>
      <c r="E87" t="s">
        <v>49</v>
      </c>
      <c r="F87">
        <v>436</v>
      </c>
      <c r="G87">
        <v>5</v>
      </c>
      <c r="H87" s="3">
        <v>500</v>
      </c>
      <c r="I87" s="3">
        <v>1000</v>
      </c>
      <c r="J87" s="3" t="s">
        <v>17</v>
      </c>
    </row>
    <row r="88" spans="1:10">
      <c r="A88" s="5">
        <v>44978</v>
      </c>
      <c r="B88">
        <v>1</v>
      </c>
      <c r="C88" s="3" t="s">
        <v>1</v>
      </c>
      <c r="D88" t="s">
        <v>47</v>
      </c>
      <c r="E88" t="s">
        <v>49</v>
      </c>
      <c r="F88">
        <v>437</v>
      </c>
      <c r="G88">
        <v>5</v>
      </c>
      <c r="H88" s="3">
        <v>500</v>
      </c>
      <c r="I88" s="3">
        <v>1000</v>
      </c>
      <c r="J88" s="3" t="s">
        <v>19</v>
      </c>
    </row>
    <row r="89" spans="1:10">
      <c r="A89" s="5">
        <v>44978</v>
      </c>
      <c r="B89">
        <v>1</v>
      </c>
      <c r="C89" s="3" t="s">
        <v>3</v>
      </c>
      <c r="D89" t="s">
        <v>47</v>
      </c>
      <c r="E89" t="s">
        <v>49</v>
      </c>
      <c r="F89">
        <v>438</v>
      </c>
      <c r="G89">
        <v>5</v>
      </c>
      <c r="H89" s="3">
        <v>500</v>
      </c>
      <c r="I89" s="3">
        <v>1000</v>
      </c>
      <c r="J89" s="3" t="s">
        <v>15</v>
      </c>
    </row>
    <row r="90" spans="1:10">
      <c r="A90" s="5">
        <v>44980</v>
      </c>
      <c r="B90">
        <v>1</v>
      </c>
      <c r="C90" s="3" t="s">
        <v>0</v>
      </c>
      <c r="D90" t="s">
        <v>47</v>
      </c>
      <c r="E90" t="s">
        <v>49</v>
      </c>
      <c r="F90">
        <v>439</v>
      </c>
      <c r="G90">
        <v>30</v>
      </c>
      <c r="H90" s="3">
        <v>1000</v>
      </c>
      <c r="I90" s="3">
        <v>200</v>
      </c>
      <c r="J90" s="3" t="s">
        <v>7</v>
      </c>
    </row>
    <row r="91" spans="1:10">
      <c r="A91" s="5">
        <v>44980</v>
      </c>
      <c r="B91">
        <v>1</v>
      </c>
      <c r="C91" s="3" t="s">
        <v>1</v>
      </c>
      <c r="D91" t="s">
        <v>47</v>
      </c>
      <c r="E91" t="s">
        <v>49</v>
      </c>
      <c r="F91">
        <v>440</v>
      </c>
      <c r="G91">
        <v>5</v>
      </c>
      <c r="H91" s="3">
        <v>500</v>
      </c>
      <c r="I91" s="3">
        <v>1000</v>
      </c>
      <c r="J91" s="3" t="s">
        <v>5</v>
      </c>
    </row>
    <row r="92" spans="1:10">
      <c r="A92" s="5">
        <v>44980</v>
      </c>
      <c r="B92">
        <v>1</v>
      </c>
      <c r="C92" s="3" t="s">
        <v>3</v>
      </c>
      <c r="D92" t="s">
        <v>47</v>
      </c>
      <c r="E92" t="s">
        <v>49</v>
      </c>
      <c r="F92">
        <v>441</v>
      </c>
      <c r="G92">
        <v>5</v>
      </c>
      <c r="H92" s="3">
        <v>500</v>
      </c>
      <c r="I92" s="3">
        <v>1000</v>
      </c>
      <c r="J92" s="3" t="s">
        <v>7</v>
      </c>
    </row>
    <row r="93" spans="1:10">
      <c r="A93" s="5">
        <v>44980</v>
      </c>
      <c r="B93">
        <v>1</v>
      </c>
      <c r="C93" s="3" t="s">
        <v>0</v>
      </c>
      <c r="D93" t="s">
        <v>46</v>
      </c>
      <c r="E93" t="s">
        <v>50</v>
      </c>
      <c r="F93">
        <v>442</v>
      </c>
      <c r="G93">
        <v>80</v>
      </c>
      <c r="H93">
        <v>2500</v>
      </c>
      <c r="I93">
        <v>20</v>
      </c>
      <c r="J93" s="3" t="s">
        <v>7</v>
      </c>
    </row>
    <row r="94" spans="1:10">
      <c r="A94" s="5">
        <v>44982</v>
      </c>
      <c r="B94">
        <v>1</v>
      </c>
      <c r="C94" s="3" t="s">
        <v>1</v>
      </c>
      <c r="D94" t="s">
        <v>46</v>
      </c>
      <c r="E94" t="s">
        <v>50</v>
      </c>
      <c r="F94">
        <v>443</v>
      </c>
      <c r="G94">
        <v>80</v>
      </c>
      <c r="H94">
        <v>2500</v>
      </c>
      <c r="I94">
        <v>20</v>
      </c>
      <c r="J94" s="3" t="s">
        <v>7</v>
      </c>
    </row>
    <row r="95" spans="1:10">
      <c r="A95" s="5">
        <v>44982</v>
      </c>
      <c r="B95">
        <v>1</v>
      </c>
      <c r="C95" s="3" t="s">
        <v>3</v>
      </c>
      <c r="D95" t="s">
        <v>46</v>
      </c>
      <c r="E95" t="s">
        <v>50</v>
      </c>
      <c r="F95">
        <v>444</v>
      </c>
      <c r="G95">
        <v>80</v>
      </c>
      <c r="H95">
        <v>2500</v>
      </c>
      <c r="I95">
        <v>20</v>
      </c>
      <c r="J95" s="3" t="s">
        <v>15</v>
      </c>
    </row>
    <row r="96" spans="1:10">
      <c r="A96" s="5">
        <v>44982</v>
      </c>
      <c r="B96">
        <v>1</v>
      </c>
      <c r="C96" s="3" t="s">
        <v>0</v>
      </c>
      <c r="D96" t="s">
        <v>46</v>
      </c>
      <c r="E96" t="s">
        <v>50</v>
      </c>
      <c r="F96">
        <v>445</v>
      </c>
      <c r="G96">
        <v>60</v>
      </c>
      <c r="H96">
        <v>5000</v>
      </c>
      <c r="I96">
        <v>30</v>
      </c>
      <c r="J96" s="3" t="s">
        <v>17</v>
      </c>
    </row>
    <row r="97" spans="1:10">
      <c r="A97" s="5">
        <v>44982</v>
      </c>
      <c r="B97">
        <v>1</v>
      </c>
      <c r="C97" s="3" t="s">
        <v>1</v>
      </c>
      <c r="D97" t="s">
        <v>46</v>
      </c>
      <c r="E97" t="s">
        <v>50</v>
      </c>
      <c r="F97">
        <v>446</v>
      </c>
      <c r="G97">
        <v>60</v>
      </c>
      <c r="H97">
        <v>5000</v>
      </c>
      <c r="I97">
        <v>30</v>
      </c>
      <c r="J97" s="3" t="s">
        <v>17</v>
      </c>
    </row>
    <row r="98" spans="1:10">
      <c r="A98" s="5">
        <v>44984</v>
      </c>
      <c r="B98">
        <v>1</v>
      </c>
      <c r="C98" s="3" t="s">
        <v>3</v>
      </c>
      <c r="D98" t="s">
        <v>46</v>
      </c>
      <c r="E98" t="s">
        <v>50</v>
      </c>
      <c r="F98">
        <v>447</v>
      </c>
      <c r="G98">
        <v>60</v>
      </c>
      <c r="H98">
        <v>5000</v>
      </c>
      <c r="I98">
        <v>30</v>
      </c>
      <c r="J98" s="3" t="s">
        <v>10</v>
      </c>
    </row>
    <row r="99" spans="1:10">
      <c r="A99" s="5">
        <v>44984</v>
      </c>
      <c r="B99">
        <v>1</v>
      </c>
      <c r="C99" s="3" t="s">
        <v>0</v>
      </c>
      <c r="D99" t="s">
        <v>46</v>
      </c>
      <c r="E99" t="s">
        <v>50</v>
      </c>
      <c r="F99">
        <v>448</v>
      </c>
      <c r="G99">
        <v>80</v>
      </c>
      <c r="H99">
        <v>2500</v>
      </c>
      <c r="I99">
        <v>20</v>
      </c>
      <c r="J99" s="3" t="s">
        <v>17</v>
      </c>
    </row>
    <row r="100" spans="1:10">
      <c r="A100" s="5">
        <v>44984</v>
      </c>
      <c r="B100">
        <v>1</v>
      </c>
      <c r="C100" s="3" t="s">
        <v>1</v>
      </c>
      <c r="D100" t="s">
        <v>46</v>
      </c>
      <c r="E100" t="s">
        <v>50</v>
      </c>
      <c r="F100">
        <v>449</v>
      </c>
      <c r="G100">
        <v>80</v>
      </c>
      <c r="H100">
        <v>2500</v>
      </c>
      <c r="I100">
        <v>20</v>
      </c>
      <c r="J100" s="3" t="s">
        <v>12</v>
      </c>
    </row>
    <row r="101" spans="1:10">
      <c r="A101" s="5">
        <v>44984</v>
      </c>
      <c r="B101">
        <v>1</v>
      </c>
      <c r="C101" s="3" t="s">
        <v>3</v>
      </c>
      <c r="D101" t="s">
        <v>46</v>
      </c>
      <c r="E101" t="s">
        <v>50</v>
      </c>
      <c r="F101">
        <v>450</v>
      </c>
      <c r="G101">
        <v>80</v>
      </c>
      <c r="H101">
        <v>2500</v>
      </c>
      <c r="I101">
        <v>20</v>
      </c>
      <c r="J101" s="3" t="s">
        <v>29</v>
      </c>
    </row>
    <row r="102" spans="1:10">
      <c r="A102" s="5">
        <v>44986</v>
      </c>
      <c r="B102">
        <v>1</v>
      </c>
      <c r="C102" s="3" t="s">
        <v>0</v>
      </c>
      <c r="D102" t="s">
        <v>45</v>
      </c>
      <c r="E102" t="s">
        <v>48</v>
      </c>
      <c r="F102">
        <v>451</v>
      </c>
      <c r="G102">
        <v>80</v>
      </c>
      <c r="H102">
        <v>2500</v>
      </c>
      <c r="I102">
        <v>20</v>
      </c>
      <c r="J102" s="3" t="s">
        <v>29</v>
      </c>
    </row>
    <row r="103" spans="1:10">
      <c r="A103" s="5">
        <v>44986</v>
      </c>
      <c r="B103">
        <v>1</v>
      </c>
      <c r="C103" s="3" t="s">
        <v>1</v>
      </c>
      <c r="D103" t="s">
        <v>45</v>
      </c>
      <c r="E103" t="s">
        <v>48</v>
      </c>
      <c r="F103">
        <v>452</v>
      </c>
      <c r="G103">
        <v>20</v>
      </c>
      <c r="H103" s="3">
        <v>1000</v>
      </c>
      <c r="I103" s="3">
        <v>2500</v>
      </c>
      <c r="J103" s="3" t="s">
        <v>17</v>
      </c>
    </row>
    <row r="104" spans="1:10">
      <c r="A104" s="5">
        <v>44986</v>
      </c>
      <c r="B104">
        <v>1</v>
      </c>
      <c r="C104" s="3" t="s">
        <v>3</v>
      </c>
      <c r="D104" t="s">
        <v>46</v>
      </c>
      <c r="E104" t="s">
        <v>50</v>
      </c>
      <c r="F104">
        <v>453</v>
      </c>
      <c r="G104">
        <v>20</v>
      </c>
      <c r="H104" s="3">
        <v>1000</v>
      </c>
      <c r="I104" s="3">
        <v>2500</v>
      </c>
      <c r="J104" s="3" t="s">
        <v>17</v>
      </c>
    </row>
    <row r="105" spans="1:10">
      <c r="A105" s="5">
        <v>44986</v>
      </c>
      <c r="B105">
        <v>1</v>
      </c>
      <c r="C105" s="3" t="s">
        <v>0</v>
      </c>
      <c r="D105" t="s">
        <v>46</v>
      </c>
      <c r="E105" t="s">
        <v>50</v>
      </c>
      <c r="F105">
        <v>454</v>
      </c>
      <c r="G105">
        <v>20</v>
      </c>
      <c r="H105" s="3">
        <v>1000</v>
      </c>
      <c r="I105" s="3">
        <v>2500</v>
      </c>
      <c r="J105" s="3" t="s">
        <v>18</v>
      </c>
    </row>
    <row r="106" spans="1:10">
      <c r="A106" s="5">
        <v>44988</v>
      </c>
      <c r="B106">
        <v>1</v>
      </c>
      <c r="C106" s="3" t="s">
        <v>1</v>
      </c>
      <c r="D106" t="s">
        <v>45</v>
      </c>
      <c r="E106" t="s">
        <v>48</v>
      </c>
      <c r="F106">
        <v>455</v>
      </c>
      <c r="G106">
        <v>5</v>
      </c>
      <c r="H106" s="3">
        <v>500</v>
      </c>
      <c r="I106" s="3">
        <v>1000</v>
      </c>
      <c r="J106" s="3" t="s">
        <v>6</v>
      </c>
    </row>
    <row r="107" spans="1:10">
      <c r="A107" s="5">
        <v>44988</v>
      </c>
      <c r="B107">
        <v>1</v>
      </c>
      <c r="C107" s="3" t="s">
        <v>3</v>
      </c>
      <c r="D107" t="s">
        <v>45</v>
      </c>
      <c r="E107" t="s">
        <v>48</v>
      </c>
      <c r="F107">
        <v>456</v>
      </c>
      <c r="G107">
        <v>5</v>
      </c>
      <c r="H107" s="3">
        <v>500</v>
      </c>
      <c r="I107" s="3">
        <v>1000</v>
      </c>
      <c r="J107" s="3" t="s">
        <v>22</v>
      </c>
    </row>
    <row r="108" spans="1:10">
      <c r="A108" s="5">
        <v>44988</v>
      </c>
      <c r="B108">
        <v>1</v>
      </c>
      <c r="C108" s="3" t="s">
        <v>0</v>
      </c>
      <c r="D108" t="s">
        <v>45</v>
      </c>
      <c r="E108" t="s">
        <v>48</v>
      </c>
      <c r="F108">
        <v>457</v>
      </c>
      <c r="G108">
        <v>5</v>
      </c>
      <c r="H108" s="3">
        <v>500</v>
      </c>
      <c r="I108" s="3">
        <v>1000</v>
      </c>
      <c r="J108" s="3" t="s">
        <v>22</v>
      </c>
    </row>
    <row r="109" spans="1:10">
      <c r="A109" s="5">
        <v>44988</v>
      </c>
      <c r="B109">
        <v>1</v>
      </c>
      <c r="C109" s="3" t="s">
        <v>1</v>
      </c>
      <c r="D109" t="s">
        <v>47</v>
      </c>
      <c r="E109" t="s">
        <v>49</v>
      </c>
      <c r="F109">
        <v>458</v>
      </c>
      <c r="G109">
        <v>5</v>
      </c>
      <c r="H109" s="3">
        <v>500</v>
      </c>
      <c r="I109" s="3">
        <v>1000</v>
      </c>
      <c r="J109" s="3" t="s">
        <v>6</v>
      </c>
    </row>
    <row r="110" spans="1:10">
      <c r="A110" s="5">
        <v>44990</v>
      </c>
      <c r="B110">
        <v>1</v>
      </c>
      <c r="C110" s="3" t="s">
        <v>3</v>
      </c>
      <c r="D110" t="s">
        <v>47</v>
      </c>
      <c r="E110" t="s">
        <v>49</v>
      </c>
      <c r="F110">
        <v>459</v>
      </c>
      <c r="G110">
        <v>30</v>
      </c>
      <c r="H110" s="3">
        <v>1000</v>
      </c>
      <c r="I110" s="3">
        <v>200</v>
      </c>
      <c r="J110" s="3" t="s">
        <v>31</v>
      </c>
    </row>
    <row r="111" spans="1:10">
      <c r="A111" s="5">
        <v>44990</v>
      </c>
      <c r="B111">
        <v>1</v>
      </c>
      <c r="C111" s="3" t="s">
        <v>0</v>
      </c>
      <c r="D111" t="s">
        <v>45</v>
      </c>
      <c r="E111" t="s">
        <v>48</v>
      </c>
      <c r="F111">
        <v>460</v>
      </c>
      <c r="G111">
        <v>30</v>
      </c>
      <c r="H111" s="3">
        <v>1000</v>
      </c>
      <c r="I111" s="3">
        <v>200</v>
      </c>
      <c r="J111" s="3" t="s">
        <v>18</v>
      </c>
    </row>
    <row r="112" spans="1:10">
      <c r="A112" s="5">
        <v>44990</v>
      </c>
      <c r="B112">
        <v>1</v>
      </c>
      <c r="C112" s="3" t="s">
        <v>1</v>
      </c>
      <c r="D112" t="s">
        <v>45</v>
      </c>
      <c r="E112" t="s">
        <v>48</v>
      </c>
      <c r="F112">
        <v>461</v>
      </c>
      <c r="G112">
        <v>30</v>
      </c>
      <c r="H112" s="3">
        <v>1000</v>
      </c>
      <c r="I112" s="3">
        <v>200</v>
      </c>
      <c r="J112" s="3" t="s">
        <v>31</v>
      </c>
    </row>
    <row r="113" spans="1:10">
      <c r="A113" s="5">
        <v>44990</v>
      </c>
      <c r="B113">
        <v>1</v>
      </c>
      <c r="C113" s="3" t="s">
        <v>3</v>
      </c>
      <c r="D113" t="s">
        <v>45</v>
      </c>
      <c r="E113" t="s">
        <v>48</v>
      </c>
      <c r="F113">
        <v>462</v>
      </c>
      <c r="G113">
        <v>30</v>
      </c>
      <c r="H113" s="3">
        <v>1000</v>
      </c>
      <c r="I113" s="3">
        <v>200</v>
      </c>
      <c r="J113" s="3" t="s">
        <v>31</v>
      </c>
    </row>
    <row r="114" spans="1:10">
      <c r="A114" s="5">
        <v>44992</v>
      </c>
      <c r="B114">
        <v>1</v>
      </c>
      <c r="C114" s="3" t="s">
        <v>0</v>
      </c>
      <c r="D114" t="s">
        <v>45</v>
      </c>
      <c r="E114" t="s">
        <v>48</v>
      </c>
      <c r="F114">
        <v>463</v>
      </c>
      <c r="G114">
        <v>4</v>
      </c>
      <c r="H114">
        <v>500</v>
      </c>
      <c r="I114">
        <v>300</v>
      </c>
      <c r="J114" s="3" t="s">
        <v>17</v>
      </c>
    </row>
    <row r="115" spans="1:10">
      <c r="A115" s="5">
        <v>44992</v>
      </c>
      <c r="B115">
        <v>1</v>
      </c>
      <c r="C115" s="3" t="s">
        <v>1</v>
      </c>
      <c r="D115" t="s">
        <v>47</v>
      </c>
      <c r="E115" t="s">
        <v>49</v>
      </c>
      <c r="F115">
        <v>464</v>
      </c>
      <c r="G115">
        <v>4</v>
      </c>
      <c r="H115">
        <v>500</v>
      </c>
      <c r="I115">
        <v>300</v>
      </c>
      <c r="J115" s="3" t="s">
        <v>17</v>
      </c>
    </row>
    <row r="116" spans="1:10">
      <c r="A116" s="5">
        <v>44992</v>
      </c>
      <c r="B116">
        <v>1</v>
      </c>
      <c r="C116" s="3" t="s">
        <v>3</v>
      </c>
      <c r="D116" t="s">
        <v>47</v>
      </c>
      <c r="E116" t="s">
        <v>49</v>
      </c>
      <c r="F116">
        <v>465</v>
      </c>
      <c r="G116">
        <v>4</v>
      </c>
      <c r="H116">
        <v>500</v>
      </c>
      <c r="I116">
        <v>300</v>
      </c>
      <c r="J116" s="3" t="s">
        <v>13</v>
      </c>
    </row>
    <row r="117" spans="1:10">
      <c r="A117" s="5">
        <v>44992</v>
      </c>
      <c r="B117">
        <v>1</v>
      </c>
      <c r="C117" s="3" t="s">
        <v>0</v>
      </c>
      <c r="D117" t="s">
        <v>46</v>
      </c>
      <c r="E117" t="s">
        <v>50</v>
      </c>
      <c r="F117">
        <v>466</v>
      </c>
      <c r="G117">
        <v>4</v>
      </c>
      <c r="H117">
        <v>500</v>
      </c>
      <c r="I117">
        <v>300</v>
      </c>
      <c r="J117" s="3" t="s">
        <v>5</v>
      </c>
    </row>
    <row r="118" spans="1:10">
      <c r="A118" s="5">
        <v>44994</v>
      </c>
      <c r="B118">
        <v>1</v>
      </c>
      <c r="C118" s="3" t="s">
        <v>1</v>
      </c>
      <c r="D118" t="s">
        <v>46</v>
      </c>
      <c r="E118" t="s">
        <v>50</v>
      </c>
      <c r="F118">
        <v>467</v>
      </c>
      <c r="G118">
        <v>4</v>
      </c>
      <c r="H118">
        <v>500</v>
      </c>
      <c r="I118">
        <v>300</v>
      </c>
      <c r="J118" s="3" t="s">
        <v>19</v>
      </c>
    </row>
    <row r="119" spans="1:10">
      <c r="A119" s="5">
        <v>44994</v>
      </c>
      <c r="B119">
        <v>1</v>
      </c>
      <c r="C119" s="3" t="s">
        <v>3</v>
      </c>
      <c r="D119" t="s">
        <v>46</v>
      </c>
      <c r="E119" t="s">
        <v>50</v>
      </c>
      <c r="F119">
        <v>468</v>
      </c>
      <c r="G119">
        <v>4</v>
      </c>
      <c r="H119">
        <v>500</v>
      </c>
      <c r="I119">
        <v>300</v>
      </c>
      <c r="J119" s="3" t="s">
        <v>13</v>
      </c>
    </row>
    <row r="120" spans="1:10">
      <c r="A120" s="5">
        <v>44994</v>
      </c>
      <c r="B120">
        <v>1</v>
      </c>
      <c r="C120" s="3" t="s">
        <v>0</v>
      </c>
      <c r="D120" t="s">
        <v>46</v>
      </c>
      <c r="E120" t="s">
        <v>50</v>
      </c>
      <c r="F120">
        <v>469</v>
      </c>
      <c r="G120">
        <v>4</v>
      </c>
      <c r="H120">
        <v>500</v>
      </c>
      <c r="I120">
        <v>300</v>
      </c>
      <c r="J120" s="3" t="s">
        <v>18</v>
      </c>
    </row>
    <row r="121" spans="1:10">
      <c r="A121" s="5">
        <v>44994</v>
      </c>
      <c r="B121">
        <v>1</v>
      </c>
      <c r="C121" s="3" t="s">
        <v>1</v>
      </c>
      <c r="D121" t="s">
        <v>46</v>
      </c>
      <c r="E121" t="s">
        <v>50</v>
      </c>
      <c r="F121">
        <v>470</v>
      </c>
      <c r="G121">
        <v>4</v>
      </c>
      <c r="H121">
        <v>500</v>
      </c>
      <c r="I121">
        <v>300</v>
      </c>
      <c r="J121" s="3" t="s">
        <v>18</v>
      </c>
    </row>
    <row r="122" spans="1:10">
      <c r="A122" s="5">
        <v>44996</v>
      </c>
      <c r="B122">
        <v>1</v>
      </c>
      <c r="C122" s="3" t="s">
        <v>3</v>
      </c>
      <c r="D122" t="s">
        <v>46</v>
      </c>
      <c r="E122" t="s">
        <v>50</v>
      </c>
      <c r="F122">
        <v>471</v>
      </c>
      <c r="G122">
        <v>4</v>
      </c>
      <c r="H122">
        <v>500</v>
      </c>
      <c r="I122">
        <v>300</v>
      </c>
      <c r="J122" s="3" t="s">
        <v>14</v>
      </c>
    </row>
    <row r="123" spans="1:10">
      <c r="A123" s="5">
        <v>44996</v>
      </c>
      <c r="B123">
        <v>1</v>
      </c>
      <c r="C123" s="3" t="s">
        <v>0</v>
      </c>
      <c r="D123" t="s">
        <v>46</v>
      </c>
      <c r="E123" t="s">
        <v>50</v>
      </c>
      <c r="F123">
        <v>472</v>
      </c>
      <c r="G123">
        <v>4</v>
      </c>
      <c r="H123">
        <v>500</v>
      </c>
      <c r="I123">
        <v>300</v>
      </c>
      <c r="J123" s="3" t="s">
        <v>14</v>
      </c>
    </row>
    <row r="124" spans="1:10">
      <c r="A124" s="5">
        <v>44996</v>
      </c>
      <c r="B124">
        <v>1</v>
      </c>
      <c r="C124" s="3" t="s">
        <v>1</v>
      </c>
      <c r="D124" t="s">
        <v>46</v>
      </c>
      <c r="E124" t="s">
        <v>50</v>
      </c>
      <c r="F124">
        <v>473</v>
      </c>
      <c r="G124">
        <v>4</v>
      </c>
      <c r="H124">
        <v>500</v>
      </c>
      <c r="I124">
        <v>300</v>
      </c>
      <c r="J124" s="3" t="s">
        <v>22</v>
      </c>
    </row>
    <row r="125" spans="1:10">
      <c r="A125" s="5">
        <v>44996</v>
      </c>
      <c r="B125">
        <v>1</v>
      </c>
      <c r="C125" s="3" t="s">
        <v>3</v>
      </c>
      <c r="D125" t="s">
        <v>46</v>
      </c>
      <c r="E125" t="s">
        <v>50</v>
      </c>
      <c r="F125">
        <v>474</v>
      </c>
      <c r="G125">
        <v>20</v>
      </c>
      <c r="H125" s="3">
        <v>1000</v>
      </c>
      <c r="I125" s="3">
        <v>2500</v>
      </c>
      <c r="J125" s="3" t="s">
        <v>22</v>
      </c>
    </row>
    <row r="126" spans="1:10">
      <c r="A126" s="5">
        <v>44998</v>
      </c>
      <c r="B126">
        <v>1</v>
      </c>
      <c r="C126" s="3" t="s">
        <v>0</v>
      </c>
      <c r="D126" t="s">
        <v>45</v>
      </c>
      <c r="E126" t="s">
        <v>48</v>
      </c>
      <c r="F126">
        <v>475</v>
      </c>
      <c r="G126">
        <v>20</v>
      </c>
      <c r="H126" s="3">
        <v>1000</v>
      </c>
      <c r="I126" s="3">
        <v>2500</v>
      </c>
      <c r="J126" s="3" t="s">
        <v>13</v>
      </c>
    </row>
    <row r="127" spans="1:10">
      <c r="A127" s="5">
        <v>44998</v>
      </c>
      <c r="B127">
        <v>1</v>
      </c>
      <c r="C127" s="3" t="s">
        <v>1</v>
      </c>
      <c r="D127" t="s">
        <v>45</v>
      </c>
      <c r="E127" t="s">
        <v>48</v>
      </c>
      <c r="F127">
        <v>476</v>
      </c>
      <c r="G127">
        <v>20</v>
      </c>
      <c r="H127" s="3">
        <v>1000</v>
      </c>
      <c r="I127" s="3">
        <v>2500</v>
      </c>
      <c r="J127" s="3" t="s">
        <v>20</v>
      </c>
    </row>
    <row r="128" spans="1:10">
      <c r="A128" s="5">
        <v>44998</v>
      </c>
      <c r="B128">
        <v>1</v>
      </c>
      <c r="C128" s="3" t="s">
        <v>3</v>
      </c>
      <c r="D128" t="s">
        <v>45</v>
      </c>
      <c r="E128" t="s">
        <v>48</v>
      </c>
      <c r="F128">
        <v>477</v>
      </c>
      <c r="G128">
        <v>20</v>
      </c>
      <c r="H128" s="3">
        <v>1000</v>
      </c>
      <c r="I128" s="3">
        <v>2500</v>
      </c>
      <c r="J128" s="3" t="s">
        <v>6</v>
      </c>
    </row>
    <row r="129" spans="1:10">
      <c r="A129" s="5">
        <v>44998</v>
      </c>
      <c r="B129">
        <v>1</v>
      </c>
      <c r="C129" s="3" t="s">
        <v>0</v>
      </c>
      <c r="D129" t="s">
        <v>45</v>
      </c>
      <c r="E129" t="s">
        <v>48</v>
      </c>
      <c r="F129">
        <v>478</v>
      </c>
      <c r="G129">
        <v>20</v>
      </c>
      <c r="H129" s="3">
        <v>1000</v>
      </c>
      <c r="I129" s="3">
        <v>2500</v>
      </c>
      <c r="J129" s="3" t="s">
        <v>8</v>
      </c>
    </row>
    <row r="130" spans="1:10">
      <c r="A130" s="5">
        <v>45000</v>
      </c>
      <c r="B130">
        <v>1</v>
      </c>
      <c r="C130" s="3" t="s">
        <v>1</v>
      </c>
      <c r="D130" t="s">
        <v>45</v>
      </c>
      <c r="E130" t="s">
        <v>48</v>
      </c>
      <c r="F130">
        <v>479</v>
      </c>
      <c r="G130">
        <v>4</v>
      </c>
      <c r="H130">
        <v>500</v>
      </c>
      <c r="I130">
        <v>300</v>
      </c>
      <c r="J130" s="3" t="s">
        <v>8</v>
      </c>
    </row>
    <row r="131" spans="1:10">
      <c r="A131" s="5">
        <v>45000</v>
      </c>
      <c r="B131">
        <v>1</v>
      </c>
      <c r="C131" s="3" t="s">
        <v>3</v>
      </c>
      <c r="D131" t="s">
        <v>47</v>
      </c>
      <c r="E131" t="s">
        <v>49</v>
      </c>
      <c r="F131">
        <v>480</v>
      </c>
      <c r="G131">
        <v>4</v>
      </c>
      <c r="H131">
        <v>500</v>
      </c>
      <c r="I131">
        <v>300</v>
      </c>
      <c r="J131" s="3" t="s">
        <v>30</v>
      </c>
    </row>
    <row r="132" spans="1:10">
      <c r="A132" s="5">
        <v>45000</v>
      </c>
      <c r="B132">
        <v>1</v>
      </c>
      <c r="C132" s="3" t="s">
        <v>0</v>
      </c>
      <c r="D132" t="s">
        <v>47</v>
      </c>
      <c r="E132" t="s">
        <v>49</v>
      </c>
      <c r="F132">
        <v>481</v>
      </c>
      <c r="G132">
        <v>4</v>
      </c>
      <c r="H132">
        <v>500</v>
      </c>
      <c r="I132">
        <v>300</v>
      </c>
      <c r="J132" s="3" t="s">
        <v>15</v>
      </c>
    </row>
    <row r="133" spans="1:10">
      <c r="A133" s="5">
        <v>45000</v>
      </c>
      <c r="B133">
        <v>1</v>
      </c>
      <c r="C133" s="3" t="s">
        <v>1</v>
      </c>
      <c r="D133" t="s">
        <v>45</v>
      </c>
      <c r="E133" t="s">
        <v>48</v>
      </c>
      <c r="F133">
        <v>482</v>
      </c>
      <c r="G133">
        <v>4</v>
      </c>
      <c r="H133">
        <v>500</v>
      </c>
      <c r="I133">
        <v>300</v>
      </c>
      <c r="J133" s="3" t="s">
        <v>7</v>
      </c>
    </row>
    <row r="134" spans="1:10">
      <c r="A134" s="5">
        <v>45002</v>
      </c>
      <c r="B134">
        <v>1</v>
      </c>
      <c r="C134" s="3" t="s">
        <v>3</v>
      </c>
      <c r="D134" t="s">
        <v>45</v>
      </c>
      <c r="E134" t="s">
        <v>48</v>
      </c>
      <c r="F134">
        <v>483</v>
      </c>
      <c r="G134">
        <v>4</v>
      </c>
      <c r="H134">
        <v>500</v>
      </c>
      <c r="I134">
        <v>300</v>
      </c>
      <c r="J134" s="3" t="s">
        <v>7</v>
      </c>
    </row>
    <row r="135" spans="1:10">
      <c r="A135" s="5">
        <v>45002</v>
      </c>
      <c r="B135">
        <v>1</v>
      </c>
      <c r="C135" s="3" t="s">
        <v>0</v>
      </c>
      <c r="D135" t="s">
        <v>45</v>
      </c>
      <c r="E135" t="s">
        <v>48</v>
      </c>
      <c r="F135">
        <v>484</v>
      </c>
      <c r="G135">
        <v>4</v>
      </c>
      <c r="H135">
        <v>500</v>
      </c>
      <c r="I135">
        <v>300</v>
      </c>
      <c r="J135" s="3" t="s">
        <v>17</v>
      </c>
    </row>
    <row r="136" spans="1:10">
      <c r="A136" s="5">
        <v>45002</v>
      </c>
      <c r="B136">
        <v>1</v>
      </c>
      <c r="C136" s="3" t="s">
        <v>1</v>
      </c>
      <c r="D136" t="s">
        <v>45</v>
      </c>
      <c r="E136" t="s">
        <v>48</v>
      </c>
      <c r="F136">
        <v>485</v>
      </c>
      <c r="G136">
        <v>4</v>
      </c>
      <c r="H136">
        <v>500</v>
      </c>
      <c r="I136">
        <v>300</v>
      </c>
      <c r="J136" s="3" t="s">
        <v>17</v>
      </c>
    </row>
    <row r="137" spans="1:10">
      <c r="A137" s="5">
        <v>45002</v>
      </c>
      <c r="B137">
        <v>1</v>
      </c>
      <c r="C137" s="3" t="s">
        <v>3</v>
      </c>
      <c r="D137" t="s">
        <v>45</v>
      </c>
      <c r="E137" t="s">
        <v>48</v>
      </c>
      <c r="F137">
        <v>486</v>
      </c>
      <c r="G137">
        <v>4</v>
      </c>
      <c r="H137">
        <v>500</v>
      </c>
      <c r="I137">
        <v>300</v>
      </c>
      <c r="J137" s="3" t="s">
        <v>5</v>
      </c>
    </row>
    <row r="138" spans="1:10">
      <c r="A138" s="5">
        <v>45004</v>
      </c>
      <c r="B138">
        <v>1</v>
      </c>
      <c r="C138" s="3" t="s">
        <v>0</v>
      </c>
      <c r="D138" t="s">
        <v>47</v>
      </c>
      <c r="E138" t="s">
        <v>49</v>
      </c>
      <c r="F138">
        <v>487</v>
      </c>
      <c r="G138">
        <v>4</v>
      </c>
      <c r="H138">
        <v>500</v>
      </c>
      <c r="I138">
        <v>300</v>
      </c>
      <c r="J138" s="3" t="s">
        <v>5</v>
      </c>
    </row>
    <row r="139" spans="1:10">
      <c r="A139" s="5">
        <v>45004</v>
      </c>
      <c r="B139">
        <v>1</v>
      </c>
      <c r="C139" s="3" t="s">
        <v>1</v>
      </c>
      <c r="D139" t="s">
        <v>47</v>
      </c>
      <c r="E139" t="s">
        <v>49</v>
      </c>
      <c r="F139">
        <v>488</v>
      </c>
      <c r="G139">
        <v>4</v>
      </c>
      <c r="H139">
        <v>500</v>
      </c>
      <c r="I139">
        <v>300</v>
      </c>
      <c r="J139" s="3" t="s">
        <v>6</v>
      </c>
    </row>
    <row r="140" spans="1:10">
      <c r="A140" s="5">
        <v>45004</v>
      </c>
      <c r="B140">
        <v>1</v>
      </c>
      <c r="C140" s="3" t="s">
        <v>3</v>
      </c>
      <c r="D140" t="s">
        <v>46</v>
      </c>
      <c r="E140" t="s">
        <v>50</v>
      </c>
      <c r="F140">
        <v>489</v>
      </c>
      <c r="G140">
        <v>4</v>
      </c>
      <c r="H140">
        <v>500</v>
      </c>
      <c r="I140">
        <v>300</v>
      </c>
      <c r="J140" s="3" t="s">
        <v>11</v>
      </c>
    </row>
    <row r="141" spans="1:10">
      <c r="A141" s="5">
        <v>45004</v>
      </c>
      <c r="B141">
        <v>1</v>
      </c>
      <c r="C141" s="3" t="s">
        <v>0</v>
      </c>
      <c r="D141" t="s">
        <v>47</v>
      </c>
      <c r="E141" t="s">
        <v>49</v>
      </c>
      <c r="F141">
        <v>490</v>
      </c>
      <c r="G141">
        <v>20</v>
      </c>
      <c r="H141" s="3">
        <v>1000</v>
      </c>
      <c r="I141" s="3">
        <v>2500</v>
      </c>
      <c r="J141" s="3" t="s">
        <v>11</v>
      </c>
    </row>
    <row r="142" spans="1:10">
      <c r="A142" s="5">
        <v>45006</v>
      </c>
      <c r="B142">
        <v>1</v>
      </c>
      <c r="C142" s="3" t="s">
        <v>1</v>
      </c>
      <c r="D142" t="s">
        <v>47</v>
      </c>
      <c r="E142" t="s">
        <v>49</v>
      </c>
      <c r="F142">
        <v>491</v>
      </c>
      <c r="G142">
        <v>20</v>
      </c>
      <c r="H142" s="3">
        <v>1000</v>
      </c>
      <c r="I142" s="3">
        <v>2500</v>
      </c>
      <c r="J142" s="3" t="s">
        <v>15</v>
      </c>
    </row>
    <row r="143" spans="1:10">
      <c r="A143" s="5">
        <v>45006</v>
      </c>
      <c r="B143">
        <v>1</v>
      </c>
      <c r="C143" s="3" t="s">
        <v>3</v>
      </c>
      <c r="D143" t="s">
        <v>47</v>
      </c>
      <c r="E143" t="s">
        <v>49</v>
      </c>
      <c r="F143">
        <v>492</v>
      </c>
      <c r="G143">
        <v>20</v>
      </c>
      <c r="H143">
        <v>500</v>
      </c>
      <c r="I143">
        <v>8</v>
      </c>
      <c r="J143" s="3" t="s">
        <v>15</v>
      </c>
    </row>
    <row r="144" spans="1:10">
      <c r="A144" s="5">
        <v>45006</v>
      </c>
      <c r="B144">
        <v>1</v>
      </c>
      <c r="C144" s="3" t="s">
        <v>0</v>
      </c>
      <c r="D144" t="s">
        <v>47</v>
      </c>
      <c r="E144" t="s">
        <v>49</v>
      </c>
      <c r="F144">
        <v>493</v>
      </c>
      <c r="G144">
        <v>20</v>
      </c>
      <c r="H144">
        <v>500</v>
      </c>
      <c r="I144">
        <v>8</v>
      </c>
      <c r="J144" s="3" t="s">
        <v>15</v>
      </c>
    </row>
    <row r="145" spans="1:10">
      <c r="A145" s="5">
        <v>45006</v>
      </c>
      <c r="B145">
        <v>1</v>
      </c>
      <c r="C145" s="3" t="s">
        <v>1</v>
      </c>
      <c r="D145" t="s">
        <v>47</v>
      </c>
      <c r="E145" t="s">
        <v>49</v>
      </c>
      <c r="F145">
        <v>494</v>
      </c>
      <c r="G145">
        <v>20</v>
      </c>
      <c r="H145">
        <v>500</v>
      </c>
      <c r="I145">
        <v>8</v>
      </c>
      <c r="J145" s="3" t="s">
        <v>15</v>
      </c>
    </row>
    <row r="146" spans="1:10">
      <c r="A146" s="5">
        <v>45008</v>
      </c>
      <c r="B146">
        <v>1</v>
      </c>
      <c r="C146" s="3" t="s">
        <v>3</v>
      </c>
      <c r="D146" t="s">
        <v>47</v>
      </c>
      <c r="E146" t="s">
        <v>49</v>
      </c>
      <c r="F146">
        <v>495</v>
      </c>
      <c r="G146">
        <v>20</v>
      </c>
      <c r="H146">
        <v>500</v>
      </c>
      <c r="I146">
        <v>8</v>
      </c>
      <c r="J146" s="3" t="s">
        <v>15</v>
      </c>
    </row>
    <row r="147" spans="1:10">
      <c r="A147" s="5">
        <v>45008</v>
      </c>
      <c r="B147">
        <v>1</v>
      </c>
      <c r="C147" s="3" t="s">
        <v>0</v>
      </c>
      <c r="D147" t="s">
        <v>47</v>
      </c>
      <c r="E147" t="s">
        <v>49</v>
      </c>
      <c r="F147">
        <v>496</v>
      </c>
      <c r="G147">
        <v>20</v>
      </c>
      <c r="H147">
        <v>500</v>
      </c>
      <c r="I147">
        <v>8</v>
      </c>
      <c r="J147" s="3" t="s">
        <v>15</v>
      </c>
    </row>
    <row r="148" spans="1:10">
      <c r="A148" s="5">
        <v>45008</v>
      </c>
      <c r="B148">
        <v>1</v>
      </c>
      <c r="C148" s="3" t="s">
        <v>1</v>
      </c>
      <c r="D148" t="s">
        <v>47</v>
      </c>
      <c r="E148" t="s">
        <v>49</v>
      </c>
      <c r="F148">
        <v>497</v>
      </c>
      <c r="G148">
        <v>20</v>
      </c>
      <c r="H148">
        <v>500</v>
      </c>
      <c r="I148">
        <v>8</v>
      </c>
      <c r="J148" s="3" t="s">
        <v>18</v>
      </c>
    </row>
    <row r="149" spans="1:10">
      <c r="A149" s="5">
        <v>45008</v>
      </c>
      <c r="B149">
        <v>1</v>
      </c>
      <c r="C149" s="3" t="s">
        <v>3</v>
      </c>
      <c r="D149" t="s">
        <v>46</v>
      </c>
      <c r="E149" t="s">
        <v>50</v>
      </c>
      <c r="F149">
        <v>498</v>
      </c>
      <c r="G149">
        <v>20</v>
      </c>
      <c r="H149">
        <v>500</v>
      </c>
      <c r="I149">
        <v>8</v>
      </c>
      <c r="J149" s="3" t="s">
        <v>18</v>
      </c>
    </row>
    <row r="150" spans="1:10">
      <c r="A150" s="5">
        <v>45010</v>
      </c>
      <c r="B150">
        <v>1</v>
      </c>
      <c r="C150" s="3" t="s">
        <v>0</v>
      </c>
      <c r="D150" t="s">
        <v>46</v>
      </c>
      <c r="E150" t="s">
        <v>50</v>
      </c>
      <c r="F150">
        <v>499</v>
      </c>
      <c r="G150">
        <v>20</v>
      </c>
      <c r="H150">
        <v>500</v>
      </c>
      <c r="I150">
        <v>8</v>
      </c>
      <c r="J150" s="3" t="s">
        <v>15</v>
      </c>
    </row>
    <row r="151" spans="1:10">
      <c r="A151" s="5">
        <v>45010</v>
      </c>
      <c r="B151">
        <v>1</v>
      </c>
      <c r="C151" s="3" t="s">
        <v>1</v>
      </c>
      <c r="D151" t="s">
        <v>46</v>
      </c>
      <c r="E151" t="s">
        <v>50</v>
      </c>
      <c r="F151">
        <v>500</v>
      </c>
      <c r="G151">
        <v>40</v>
      </c>
      <c r="H151">
        <v>1000</v>
      </c>
      <c r="I151">
        <v>10</v>
      </c>
      <c r="J151" s="3" t="s">
        <v>31</v>
      </c>
    </row>
    <row r="152" spans="1:10">
      <c r="A152" s="5">
        <v>45010</v>
      </c>
      <c r="B152">
        <v>1</v>
      </c>
      <c r="C152" s="3" t="s">
        <v>3</v>
      </c>
      <c r="D152" t="s">
        <v>46</v>
      </c>
      <c r="E152" t="s">
        <v>50</v>
      </c>
      <c r="F152">
        <v>501</v>
      </c>
      <c r="G152">
        <v>40</v>
      </c>
      <c r="H152">
        <v>1000</v>
      </c>
      <c r="I152">
        <v>10</v>
      </c>
      <c r="J152" s="3" t="s">
        <v>10</v>
      </c>
    </row>
    <row r="153" spans="1:10">
      <c r="A153" s="5">
        <v>45010</v>
      </c>
      <c r="B153">
        <v>1</v>
      </c>
      <c r="C153" s="3" t="s">
        <v>0</v>
      </c>
      <c r="D153" t="s">
        <v>46</v>
      </c>
      <c r="E153" t="s">
        <v>50</v>
      </c>
      <c r="F153">
        <v>502</v>
      </c>
      <c r="G153">
        <v>40</v>
      </c>
      <c r="H153">
        <v>1000</v>
      </c>
      <c r="I153">
        <v>10</v>
      </c>
      <c r="J153" s="3" t="s">
        <v>5</v>
      </c>
    </row>
    <row r="154" spans="1:10">
      <c r="A154" s="5">
        <v>45012</v>
      </c>
      <c r="B154">
        <v>1</v>
      </c>
      <c r="C154" s="3" t="s">
        <v>1</v>
      </c>
      <c r="D154" t="s">
        <v>46</v>
      </c>
      <c r="E154" t="s">
        <v>50</v>
      </c>
      <c r="F154">
        <v>503</v>
      </c>
      <c r="G154">
        <v>40</v>
      </c>
      <c r="H154">
        <v>1000</v>
      </c>
      <c r="I154">
        <v>10</v>
      </c>
      <c r="J154" s="3" t="s">
        <v>7</v>
      </c>
    </row>
    <row r="155" spans="1:10">
      <c r="A155" s="5">
        <v>45012</v>
      </c>
      <c r="B155">
        <v>1</v>
      </c>
      <c r="C155" s="3" t="s">
        <v>3</v>
      </c>
      <c r="D155" t="s">
        <v>46</v>
      </c>
      <c r="E155" t="s">
        <v>50</v>
      </c>
      <c r="F155">
        <v>504</v>
      </c>
      <c r="G155">
        <v>40</v>
      </c>
      <c r="H155">
        <v>1000</v>
      </c>
      <c r="I155">
        <v>10</v>
      </c>
      <c r="J155" s="3" t="s">
        <v>15</v>
      </c>
    </row>
    <row r="156" spans="1:10">
      <c r="A156" s="5">
        <v>45012</v>
      </c>
      <c r="B156">
        <v>1</v>
      </c>
      <c r="C156" s="3" t="s">
        <v>0</v>
      </c>
      <c r="D156" t="s">
        <v>46</v>
      </c>
      <c r="E156" t="s">
        <v>50</v>
      </c>
      <c r="F156">
        <v>505</v>
      </c>
      <c r="G156">
        <v>40</v>
      </c>
      <c r="H156">
        <v>1000</v>
      </c>
      <c r="I156">
        <v>10</v>
      </c>
      <c r="J156" s="3" t="s">
        <v>15</v>
      </c>
    </row>
    <row r="157" spans="1:10">
      <c r="A157" s="5">
        <v>45012</v>
      </c>
      <c r="B157">
        <v>1</v>
      </c>
      <c r="C157" s="3" t="s">
        <v>1</v>
      </c>
      <c r="D157" t="s">
        <v>46</v>
      </c>
      <c r="E157" t="s">
        <v>50</v>
      </c>
      <c r="F157">
        <v>506</v>
      </c>
      <c r="G157">
        <v>40</v>
      </c>
      <c r="H157">
        <v>1000</v>
      </c>
      <c r="I157">
        <v>10</v>
      </c>
      <c r="J157" s="3" t="s">
        <v>5</v>
      </c>
    </row>
    <row r="158" spans="1:10">
      <c r="A158" s="5">
        <v>45014</v>
      </c>
      <c r="B158">
        <v>1</v>
      </c>
      <c r="C158" s="3" t="s">
        <v>3</v>
      </c>
      <c r="D158" t="s">
        <v>45</v>
      </c>
      <c r="E158" t="s">
        <v>48</v>
      </c>
      <c r="F158">
        <v>507</v>
      </c>
      <c r="G158">
        <v>40</v>
      </c>
      <c r="H158">
        <v>1000</v>
      </c>
      <c r="I158">
        <v>10</v>
      </c>
      <c r="J158" s="3" t="s">
        <v>31</v>
      </c>
    </row>
    <row r="159" spans="1:10">
      <c r="A159" s="5">
        <v>45014</v>
      </c>
      <c r="B159">
        <v>1</v>
      </c>
      <c r="C159" s="3" t="s">
        <v>0</v>
      </c>
      <c r="D159" t="s">
        <v>45</v>
      </c>
      <c r="E159" t="s">
        <v>48</v>
      </c>
      <c r="F159">
        <v>508</v>
      </c>
      <c r="G159">
        <v>40</v>
      </c>
      <c r="H159">
        <v>1000</v>
      </c>
      <c r="I159">
        <v>10</v>
      </c>
      <c r="J159" s="3" t="s">
        <v>27</v>
      </c>
    </row>
    <row r="160" spans="1:10">
      <c r="A160" s="5">
        <v>45014</v>
      </c>
      <c r="B160">
        <v>1</v>
      </c>
      <c r="C160" s="3" t="s">
        <v>1</v>
      </c>
      <c r="D160" t="s">
        <v>46</v>
      </c>
      <c r="E160" t="s">
        <v>50</v>
      </c>
      <c r="F160">
        <v>509</v>
      </c>
      <c r="G160">
        <v>40</v>
      </c>
      <c r="H160">
        <v>1000</v>
      </c>
      <c r="I160">
        <v>10</v>
      </c>
      <c r="J160" s="3" t="s">
        <v>24</v>
      </c>
    </row>
    <row r="161" spans="1:10">
      <c r="A161" s="5">
        <v>45014</v>
      </c>
      <c r="B161">
        <v>1</v>
      </c>
      <c r="C161" s="3" t="s">
        <v>3</v>
      </c>
      <c r="D161" t="s">
        <v>46</v>
      </c>
      <c r="E161" t="s">
        <v>50</v>
      </c>
      <c r="F161">
        <v>510</v>
      </c>
      <c r="G161">
        <v>40</v>
      </c>
      <c r="H161">
        <v>1000</v>
      </c>
      <c r="I161">
        <v>10</v>
      </c>
      <c r="J161" s="3" t="s">
        <v>13</v>
      </c>
    </row>
    <row r="162" spans="1:10">
      <c r="A162" s="5">
        <v>45016</v>
      </c>
      <c r="B162">
        <v>1</v>
      </c>
      <c r="C162" s="3" t="s">
        <v>0</v>
      </c>
      <c r="D162" t="s">
        <v>45</v>
      </c>
      <c r="E162" t="s">
        <v>48</v>
      </c>
      <c r="F162">
        <v>511</v>
      </c>
      <c r="G162">
        <v>40</v>
      </c>
      <c r="H162">
        <v>1000</v>
      </c>
      <c r="I162">
        <v>10</v>
      </c>
      <c r="J162" s="3" t="s">
        <v>32</v>
      </c>
    </row>
    <row r="163" spans="1:10">
      <c r="A163" s="5">
        <v>45016</v>
      </c>
      <c r="B163">
        <v>1</v>
      </c>
      <c r="C163" s="3" t="s">
        <v>1</v>
      </c>
      <c r="D163" t="s">
        <v>45</v>
      </c>
      <c r="E163" t="s">
        <v>48</v>
      </c>
      <c r="F163">
        <v>512</v>
      </c>
      <c r="G163">
        <v>10</v>
      </c>
      <c r="H163">
        <v>1500</v>
      </c>
      <c r="I163">
        <v>4</v>
      </c>
      <c r="J163" s="3" t="s">
        <v>24</v>
      </c>
    </row>
    <row r="164" spans="1:10">
      <c r="A164" s="5">
        <v>45016</v>
      </c>
      <c r="B164">
        <v>1</v>
      </c>
      <c r="C164" s="3" t="s">
        <v>3</v>
      </c>
      <c r="D164" t="s">
        <v>47</v>
      </c>
      <c r="E164" t="s">
        <v>49</v>
      </c>
      <c r="F164">
        <v>513</v>
      </c>
      <c r="G164">
        <v>10</v>
      </c>
      <c r="H164">
        <v>1500</v>
      </c>
      <c r="I164">
        <v>4</v>
      </c>
      <c r="J164" s="3" t="s">
        <v>10</v>
      </c>
    </row>
    <row r="165" spans="1:10">
      <c r="A165" s="5">
        <v>45016</v>
      </c>
      <c r="B165">
        <v>1</v>
      </c>
      <c r="C165" s="3" t="s">
        <v>0</v>
      </c>
      <c r="D165" t="s">
        <v>47</v>
      </c>
      <c r="E165" t="s">
        <v>49</v>
      </c>
      <c r="F165">
        <v>514</v>
      </c>
      <c r="G165">
        <v>10</v>
      </c>
      <c r="H165">
        <v>1500</v>
      </c>
      <c r="I165">
        <v>4</v>
      </c>
      <c r="J165" s="3" t="s">
        <v>7</v>
      </c>
    </row>
    <row r="166" spans="1:10">
      <c r="A166" s="5">
        <v>45018</v>
      </c>
      <c r="B166">
        <v>1</v>
      </c>
      <c r="C166" s="3" t="s">
        <v>1</v>
      </c>
      <c r="D166" t="s">
        <v>46</v>
      </c>
      <c r="E166" t="s">
        <v>50</v>
      </c>
      <c r="F166">
        <v>515</v>
      </c>
      <c r="G166">
        <v>10</v>
      </c>
      <c r="H166">
        <v>1500</v>
      </c>
      <c r="I166">
        <v>4</v>
      </c>
      <c r="J166" s="3" t="s">
        <v>23</v>
      </c>
    </row>
    <row r="167" spans="1:10">
      <c r="A167" s="5">
        <v>45018</v>
      </c>
      <c r="B167">
        <v>1</v>
      </c>
      <c r="C167" s="3" t="s">
        <v>3</v>
      </c>
      <c r="D167" t="s">
        <v>46</v>
      </c>
      <c r="E167" t="s">
        <v>50</v>
      </c>
      <c r="F167">
        <v>516</v>
      </c>
      <c r="G167">
        <v>5</v>
      </c>
      <c r="H167">
        <v>200</v>
      </c>
      <c r="I167">
        <v>8</v>
      </c>
      <c r="J167" s="3" t="s">
        <v>17</v>
      </c>
    </row>
    <row r="168" spans="1:10">
      <c r="A168" s="5">
        <v>45018</v>
      </c>
      <c r="B168">
        <v>1</v>
      </c>
      <c r="C168" s="3" t="s">
        <v>0</v>
      </c>
      <c r="D168" t="s">
        <v>46</v>
      </c>
      <c r="E168" t="s">
        <v>50</v>
      </c>
      <c r="F168">
        <v>517</v>
      </c>
      <c r="G168">
        <v>5</v>
      </c>
      <c r="H168">
        <v>200</v>
      </c>
      <c r="I168">
        <v>8</v>
      </c>
      <c r="J168" s="3" t="s">
        <v>17</v>
      </c>
    </row>
    <row r="169" spans="1:10">
      <c r="A169" s="5">
        <v>45018</v>
      </c>
      <c r="B169">
        <v>1</v>
      </c>
      <c r="C169" s="3" t="s">
        <v>1</v>
      </c>
      <c r="D169" t="s">
        <v>46</v>
      </c>
      <c r="E169" t="s">
        <v>50</v>
      </c>
      <c r="F169">
        <v>518</v>
      </c>
      <c r="G169">
        <v>5</v>
      </c>
      <c r="H169">
        <v>200</v>
      </c>
      <c r="I169">
        <v>8</v>
      </c>
      <c r="J169" s="3" t="s">
        <v>5</v>
      </c>
    </row>
    <row r="170" spans="1:10">
      <c r="A170" s="5">
        <v>45020</v>
      </c>
      <c r="B170">
        <v>1</v>
      </c>
      <c r="C170" s="3" t="s">
        <v>3</v>
      </c>
      <c r="D170" t="s">
        <v>46</v>
      </c>
      <c r="E170" t="s">
        <v>50</v>
      </c>
      <c r="F170">
        <v>519</v>
      </c>
      <c r="G170">
        <v>5</v>
      </c>
      <c r="H170">
        <v>200</v>
      </c>
      <c r="I170">
        <v>8</v>
      </c>
      <c r="J170" s="3" t="s">
        <v>5</v>
      </c>
    </row>
    <row r="171" spans="1:10">
      <c r="A171" s="5">
        <v>45020</v>
      </c>
      <c r="B171">
        <v>1</v>
      </c>
      <c r="C171" s="3" t="s">
        <v>0</v>
      </c>
      <c r="D171" t="s">
        <v>46</v>
      </c>
      <c r="E171" t="s">
        <v>50</v>
      </c>
      <c r="F171">
        <v>520</v>
      </c>
      <c r="G171">
        <v>5</v>
      </c>
      <c r="H171">
        <v>200</v>
      </c>
      <c r="I171">
        <v>8</v>
      </c>
      <c r="J171" s="3" t="s">
        <v>5</v>
      </c>
    </row>
    <row r="172" spans="1:10">
      <c r="A172" s="5">
        <v>45020</v>
      </c>
      <c r="B172">
        <v>1</v>
      </c>
      <c r="C172" s="3" t="s">
        <v>1</v>
      </c>
      <c r="D172" t="s">
        <v>46</v>
      </c>
      <c r="E172" t="s">
        <v>50</v>
      </c>
      <c r="F172">
        <v>521</v>
      </c>
      <c r="G172">
        <v>5</v>
      </c>
      <c r="H172">
        <v>200</v>
      </c>
      <c r="I172">
        <v>8</v>
      </c>
      <c r="J172" s="3" t="s">
        <v>13</v>
      </c>
    </row>
    <row r="173" spans="1:10">
      <c r="A173" s="5">
        <v>45020</v>
      </c>
      <c r="B173">
        <v>1</v>
      </c>
      <c r="C173" s="3" t="s">
        <v>3</v>
      </c>
      <c r="D173" t="s">
        <v>46</v>
      </c>
      <c r="E173" t="s">
        <v>50</v>
      </c>
      <c r="F173">
        <v>522</v>
      </c>
      <c r="G173">
        <v>5</v>
      </c>
      <c r="H173">
        <v>200</v>
      </c>
      <c r="I173">
        <v>8</v>
      </c>
      <c r="J173" s="3" t="s">
        <v>33</v>
      </c>
    </row>
    <row r="174" spans="1:10">
      <c r="A174" s="5">
        <v>45022</v>
      </c>
      <c r="B174">
        <v>1</v>
      </c>
      <c r="C174" s="3" t="s">
        <v>0</v>
      </c>
      <c r="D174" t="s">
        <v>46</v>
      </c>
      <c r="E174" t="s">
        <v>50</v>
      </c>
      <c r="F174">
        <v>523</v>
      </c>
      <c r="G174">
        <v>5</v>
      </c>
      <c r="H174">
        <v>200</v>
      </c>
      <c r="I174">
        <v>8</v>
      </c>
      <c r="J174" s="3" t="s">
        <v>5</v>
      </c>
    </row>
    <row r="175" spans="1:10">
      <c r="A175" s="5">
        <v>45022</v>
      </c>
      <c r="B175">
        <v>1</v>
      </c>
      <c r="C175" s="3" t="s">
        <v>1</v>
      </c>
      <c r="D175" t="s">
        <v>45</v>
      </c>
      <c r="E175" t="s">
        <v>48</v>
      </c>
      <c r="F175">
        <v>524</v>
      </c>
      <c r="G175">
        <v>5</v>
      </c>
      <c r="H175">
        <v>200</v>
      </c>
      <c r="I175">
        <v>8</v>
      </c>
      <c r="J175" s="3" t="s">
        <v>13</v>
      </c>
    </row>
    <row r="176" spans="1:10">
      <c r="A176" s="5">
        <v>45022</v>
      </c>
      <c r="B176">
        <v>1</v>
      </c>
      <c r="C176" s="3" t="s">
        <v>3</v>
      </c>
      <c r="D176" t="s">
        <v>45</v>
      </c>
      <c r="E176" t="s">
        <v>48</v>
      </c>
      <c r="F176">
        <v>525</v>
      </c>
      <c r="G176">
        <v>5</v>
      </c>
      <c r="H176">
        <v>200</v>
      </c>
      <c r="I176">
        <v>8</v>
      </c>
      <c r="J176" s="3" t="s">
        <v>6</v>
      </c>
    </row>
    <row r="177" spans="1:10">
      <c r="A177" s="5">
        <v>45022</v>
      </c>
      <c r="B177">
        <v>1</v>
      </c>
      <c r="C177" s="3" t="s">
        <v>0</v>
      </c>
      <c r="D177" t="s">
        <v>45</v>
      </c>
      <c r="E177" t="s">
        <v>48</v>
      </c>
      <c r="F177">
        <v>526</v>
      </c>
      <c r="G177">
        <v>5</v>
      </c>
      <c r="H177">
        <v>200</v>
      </c>
      <c r="I177">
        <v>8</v>
      </c>
      <c r="J177" s="3" t="s">
        <v>10</v>
      </c>
    </row>
    <row r="178" spans="1:10">
      <c r="A178" s="5">
        <v>45024</v>
      </c>
      <c r="B178">
        <v>1</v>
      </c>
      <c r="C178" s="3" t="s">
        <v>1</v>
      </c>
      <c r="D178" t="s">
        <v>45</v>
      </c>
      <c r="E178" t="s">
        <v>48</v>
      </c>
      <c r="F178">
        <v>527</v>
      </c>
      <c r="G178">
        <v>60</v>
      </c>
      <c r="H178">
        <v>5000</v>
      </c>
      <c r="I178">
        <v>30</v>
      </c>
      <c r="J178" s="3" t="s">
        <v>7</v>
      </c>
    </row>
    <row r="179" spans="1:10">
      <c r="A179" s="5">
        <v>45024</v>
      </c>
      <c r="B179">
        <v>1</v>
      </c>
      <c r="C179" s="3" t="s">
        <v>3</v>
      </c>
      <c r="D179" t="s">
        <v>45</v>
      </c>
      <c r="E179" t="s">
        <v>48</v>
      </c>
      <c r="F179">
        <v>528</v>
      </c>
      <c r="G179">
        <v>60</v>
      </c>
      <c r="H179">
        <v>5000</v>
      </c>
      <c r="I179">
        <v>30</v>
      </c>
      <c r="J179" s="3" t="s">
        <v>21</v>
      </c>
    </row>
    <row r="180" spans="1:10">
      <c r="A180" s="5">
        <v>45024</v>
      </c>
      <c r="B180">
        <v>1</v>
      </c>
      <c r="C180" s="3" t="s">
        <v>0</v>
      </c>
      <c r="D180" t="s">
        <v>47</v>
      </c>
      <c r="E180" t="s">
        <v>49</v>
      </c>
      <c r="F180">
        <v>529</v>
      </c>
      <c r="G180">
        <v>60</v>
      </c>
      <c r="H180">
        <v>5000</v>
      </c>
      <c r="I180">
        <v>30</v>
      </c>
      <c r="J180" s="3" t="s">
        <v>21</v>
      </c>
    </row>
    <row r="181" spans="1:10">
      <c r="A181" s="5">
        <v>45024</v>
      </c>
      <c r="B181">
        <v>1</v>
      </c>
      <c r="C181" s="3" t="s">
        <v>1</v>
      </c>
      <c r="D181" t="s">
        <v>47</v>
      </c>
      <c r="E181" t="s">
        <v>49</v>
      </c>
      <c r="F181">
        <v>530</v>
      </c>
      <c r="G181">
        <v>60</v>
      </c>
      <c r="H181">
        <v>5000</v>
      </c>
      <c r="I181">
        <v>30</v>
      </c>
      <c r="J181" s="3" t="s">
        <v>7</v>
      </c>
    </row>
    <row r="182" spans="1:10">
      <c r="A182" s="5">
        <v>45026</v>
      </c>
      <c r="B182">
        <v>1</v>
      </c>
      <c r="C182" s="3" t="s">
        <v>3</v>
      </c>
      <c r="D182" t="s">
        <v>45</v>
      </c>
      <c r="E182" t="s">
        <v>48</v>
      </c>
      <c r="F182">
        <v>531</v>
      </c>
      <c r="G182">
        <v>60</v>
      </c>
      <c r="H182">
        <v>5000</v>
      </c>
      <c r="I182">
        <v>30</v>
      </c>
      <c r="J182" s="3" t="s">
        <v>17</v>
      </c>
    </row>
    <row r="183" spans="1:10">
      <c r="A183" s="5">
        <v>45026</v>
      </c>
      <c r="B183">
        <v>1</v>
      </c>
      <c r="C183" s="3" t="s">
        <v>0</v>
      </c>
      <c r="D183" t="s">
        <v>45</v>
      </c>
      <c r="E183" t="s">
        <v>48</v>
      </c>
      <c r="F183">
        <v>532</v>
      </c>
      <c r="G183">
        <v>60</v>
      </c>
      <c r="H183">
        <v>5000</v>
      </c>
      <c r="I183">
        <v>30</v>
      </c>
      <c r="J183" s="3" t="s">
        <v>17</v>
      </c>
    </row>
    <row r="184" spans="1:10">
      <c r="A184" s="5">
        <v>45026</v>
      </c>
      <c r="B184">
        <v>1</v>
      </c>
      <c r="C184" s="3" t="s">
        <v>1</v>
      </c>
      <c r="D184" t="s">
        <v>45</v>
      </c>
      <c r="E184" t="s">
        <v>48</v>
      </c>
      <c r="F184">
        <v>533</v>
      </c>
      <c r="G184">
        <v>60</v>
      </c>
      <c r="H184">
        <v>5000</v>
      </c>
      <c r="I184">
        <v>30</v>
      </c>
      <c r="J184" s="3" t="s">
        <v>13</v>
      </c>
    </row>
    <row r="185" spans="1:10">
      <c r="A185" s="5">
        <v>45026</v>
      </c>
      <c r="B185">
        <v>1</v>
      </c>
      <c r="C185" s="3" t="s">
        <v>3</v>
      </c>
      <c r="D185" t="s">
        <v>45</v>
      </c>
      <c r="E185" t="s">
        <v>48</v>
      </c>
      <c r="F185">
        <v>534</v>
      </c>
      <c r="G185">
        <v>60</v>
      </c>
      <c r="H185">
        <v>5000</v>
      </c>
      <c r="I185">
        <v>30</v>
      </c>
      <c r="J185" s="3" t="s">
        <v>26</v>
      </c>
    </row>
    <row r="186" spans="1:10">
      <c r="A186" s="5">
        <v>45028</v>
      </c>
      <c r="B186">
        <v>1</v>
      </c>
      <c r="C186" s="3" t="s">
        <v>0</v>
      </c>
      <c r="D186" t="s">
        <v>45</v>
      </c>
      <c r="E186" t="s">
        <v>48</v>
      </c>
      <c r="F186">
        <v>535</v>
      </c>
      <c r="G186">
        <v>60</v>
      </c>
      <c r="H186">
        <v>5000</v>
      </c>
      <c r="I186">
        <v>30</v>
      </c>
      <c r="J186" s="3" t="s">
        <v>17</v>
      </c>
    </row>
    <row r="187" spans="1:10">
      <c r="A187" s="5">
        <v>45028</v>
      </c>
      <c r="B187">
        <v>1</v>
      </c>
      <c r="C187" s="3" t="s">
        <v>1</v>
      </c>
      <c r="D187" t="s">
        <v>47</v>
      </c>
      <c r="E187" t="s">
        <v>49</v>
      </c>
      <c r="F187">
        <v>536</v>
      </c>
      <c r="G187">
        <v>60</v>
      </c>
      <c r="H187">
        <v>5000</v>
      </c>
      <c r="I187">
        <v>30</v>
      </c>
      <c r="J187" s="3" t="s">
        <v>17</v>
      </c>
    </row>
    <row r="188" spans="1:10">
      <c r="A188" s="5">
        <v>45028</v>
      </c>
      <c r="B188">
        <v>1</v>
      </c>
      <c r="C188" s="3" t="s">
        <v>3</v>
      </c>
      <c r="D188" t="s">
        <v>47</v>
      </c>
      <c r="E188" t="s">
        <v>49</v>
      </c>
      <c r="F188">
        <v>537</v>
      </c>
      <c r="G188">
        <v>60</v>
      </c>
      <c r="H188">
        <v>5000</v>
      </c>
      <c r="I188">
        <v>30</v>
      </c>
      <c r="J188" s="3" t="s">
        <v>4</v>
      </c>
    </row>
    <row r="189" spans="1:10">
      <c r="A189" s="5">
        <v>45028</v>
      </c>
      <c r="B189">
        <v>1</v>
      </c>
      <c r="C189" s="3" t="s">
        <v>0</v>
      </c>
      <c r="D189" t="s">
        <v>46</v>
      </c>
      <c r="E189" t="s">
        <v>50</v>
      </c>
      <c r="F189">
        <v>538</v>
      </c>
      <c r="G189">
        <v>60</v>
      </c>
      <c r="H189">
        <v>5000</v>
      </c>
      <c r="I189">
        <v>30</v>
      </c>
      <c r="J189" s="3" t="s">
        <v>22</v>
      </c>
    </row>
    <row r="190" spans="1:10">
      <c r="A190" s="5">
        <v>45030</v>
      </c>
      <c r="B190">
        <v>1</v>
      </c>
      <c r="C190" s="3" t="s">
        <v>1</v>
      </c>
      <c r="D190" t="s">
        <v>47</v>
      </c>
      <c r="E190" t="s">
        <v>49</v>
      </c>
      <c r="F190">
        <v>539</v>
      </c>
      <c r="G190">
        <v>60</v>
      </c>
      <c r="H190">
        <v>5000</v>
      </c>
      <c r="I190">
        <v>30</v>
      </c>
      <c r="J190" s="3" t="s">
        <v>6</v>
      </c>
    </row>
    <row r="191" spans="1:10">
      <c r="A191" s="5">
        <v>45030</v>
      </c>
      <c r="B191">
        <v>1</v>
      </c>
      <c r="C191" s="3" t="s">
        <v>3</v>
      </c>
      <c r="D191" t="s">
        <v>47</v>
      </c>
      <c r="E191" t="s">
        <v>49</v>
      </c>
      <c r="F191">
        <v>540</v>
      </c>
      <c r="G191">
        <v>80</v>
      </c>
      <c r="H191">
        <v>2500</v>
      </c>
      <c r="I191">
        <v>20</v>
      </c>
      <c r="J191" s="3" t="s">
        <v>19</v>
      </c>
    </row>
    <row r="192" spans="1:10">
      <c r="A192" s="5">
        <v>45030</v>
      </c>
      <c r="B192">
        <v>1</v>
      </c>
      <c r="C192" s="3" t="s">
        <v>0</v>
      </c>
      <c r="D192" t="s">
        <v>47</v>
      </c>
      <c r="E192" t="s">
        <v>49</v>
      </c>
      <c r="F192">
        <v>541</v>
      </c>
      <c r="G192">
        <v>5</v>
      </c>
      <c r="H192" s="3">
        <v>500</v>
      </c>
      <c r="I192" s="3">
        <v>1000</v>
      </c>
      <c r="J192" s="3" t="s">
        <v>31</v>
      </c>
    </row>
    <row r="193" spans="1:10">
      <c r="A193" s="5">
        <v>45030</v>
      </c>
      <c r="B193">
        <v>1</v>
      </c>
      <c r="C193" s="3" t="s">
        <v>1</v>
      </c>
      <c r="D193" t="s">
        <v>47</v>
      </c>
      <c r="E193" t="s">
        <v>49</v>
      </c>
      <c r="F193">
        <v>542</v>
      </c>
      <c r="G193">
        <v>30</v>
      </c>
      <c r="H193" s="3">
        <v>1000</v>
      </c>
      <c r="I193" s="3">
        <v>200</v>
      </c>
      <c r="J193" s="3" t="s">
        <v>18</v>
      </c>
    </row>
    <row r="194" spans="1:10">
      <c r="A194" s="5">
        <v>45032</v>
      </c>
      <c r="B194">
        <v>1</v>
      </c>
      <c r="C194" s="3" t="s">
        <v>3</v>
      </c>
      <c r="D194" t="s">
        <v>47</v>
      </c>
      <c r="E194" t="s">
        <v>49</v>
      </c>
      <c r="F194">
        <v>543</v>
      </c>
      <c r="G194">
        <v>30</v>
      </c>
      <c r="H194" s="3">
        <v>1000</v>
      </c>
      <c r="I194" s="3">
        <v>200</v>
      </c>
      <c r="J194" s="3" t="s">
        <v>15</v>
      </c>
    </row>
    <row r="195" spans="1:10">
      <c r="A195" s="5">
        <v>45032</v>
      </c>
      <c r="B195">
        <v>1</v>
      </c>
      <c r="C195" s="3" t="s">
        <v>0</v>
      </c>
      <c r="D195" t="s">
        <v>47</v>
      </c>
      <c r="E195" t="s">
        <v>49</v>
      </c>
      <c r="F195">
        <v>544</v>
      </c>
      <c r="G195">
        <v>30</v>
      </c>
      <c r="H195" s="3">
        <v>1000</v>
      </c>
      <c r="I195" s="3">
        <v>200</v>
      </c>
      <c r="J195" s="3" t="s">
        <v>34</v>
      </c>
    </row>
    <row r="196" spans="1:10">
      <c r="A196" s="5">
        <v>45032</v>
      </c>
      <c r="B196">
        <v>1</v>
      </c>
      <c r="C196" s="3" t="s">
        <v>1</v>
      </c>
      <c r="D196" t="s">
        <v>47</v>
      </c>
      <c r="E196" t="s">
        <v>49</v>
      </c>
      <c r="F196">
        <v>545</v>
      </c>
      <c r="G196">
        <v>30</v>
      </c>
      <c r="H196" s="3">
        <v>1000</v>
      </c>
      <c r="I196" s="3">
        <v>200</v>
      </c>
      <c r="J196" s="3" t="s">
        <v>32</v>
      </c>
    </row>
    <row r="197" spans="1:10">
      <c r="A197" s="5">
        <v>45032</v>
      </c>
      <c r="B197">
        <v>1</v>
      </c>
      <c r="C197" s="3" t="s">
        <v>3</v>
      </c>
      <c r="D197" t="s">
        <v>47</v>
      </c>
      <c r="E197" t="s">
        <v>49</v>
      </c>
      <c r="F197">
        <v>546</v>
      </c>
      <c r="G197">
        <v>4</v>
      </c>
      <c r="H197">
        <v>500</v>
      </c>
      <c r="I197">
        <v>300</v>
      </c>
      <c r="J197" s="3" t="s">
        <v>10</v>
      </c>
    </row>
    <row r="198" spans="1:10">
      <c r="A198" s="5">
        <v>45034</v>
      </c>
      <c r="B198">
        <v>1</v>
      </c>
      <c r="C198" s="3" t="s">
        <v>0</v>
      </c>
      <c r="D198" t="s">
        <v>46</v>
      </c>
      <c r="E198" t="s">
        <v>50</v>
      </c>
      <c r="F198">
        <v>547</v>
      </c>
      <c r="G198">
        <v>4</v>
      </c>
      <c r="H198">
        <v>500</v>
      </c>
      <c r="I198">
        <v>300</v>
      </c>
      <c r="J198" s="3" t="s">
        <v>8</v>
      </c>
    </row>
    <row r="199" spans="1:10">
      <c r="A199" s="5">
        <v>45034</v>
      </c>
      <c r="B199">
        <v>1</v>
      </c>
      <c r="C199" s="3" t="s">
        <v>1</v>
      </c>
      <c r="D199" t="s">
        <v>46</v>
      </c>
      <c r="E199" t="s">
        <v>50</v>
      </c>
      <c r="F199">
        <v>548</v>
      </c>
      <c r="G199">
        <v>4</v>
      </c>
      <c r="H199">
        <v>500</v>
      </c>
      <c r="I199">
        <v>300</v>
      </c>
      <c r="J199" s="3" t="s">
        <v>5</v>
      </c>
    </row>
    <row r="200" spans="1:10">
      <c r="A200" s="5">
        <v>45034</v>
      </c>
      <c r="B200">
        <v>1</v>
      </c>
      <c r="C200" s="3" t="s">
        <v>3</v>
      </c>
      <c r="D200" t="s">
        <v>46</v>
      </c>
      <c r="E200" t="s">
        <v>50</v>
      </c>
      <c r="F200">
        <v>549</v>
      </c>
      <c r="G200">
        <v>4</v>
      </c>
      <c r="H200">
        <v>500</v>
      </c>
      <c r="I200">
        <v>300</v>
      </c>
      <c r="J200" s="3" t="s">
        <v>9</v>
      </c>
    </row>
    <row r="201" spans="1:10">
      <c r="A201" s="5">
        <v>45034</v>
      </c>
      <c r="B201">
        <v>1</v>
      </c>
      <c r="C201" s="3" t="s">
        <v>0</v>
      </c>
      <c r="D201" t="s">
        <v>46</v>
      </c>
      <c r="E201" t="s">
        <v>50</v>
      </c>
      <c r="F201">
        <v>550</v>
      </c>
      <c r="G201">
        <v>4</v>
      </c>
      <c r="H201">
        <v>500</v>
      </c>
      <c r="I201">
        <v>300</v>
      </c>
      <c r="J201" s="3" t="s">
        <v>15</v>
      </c>
    </row>
    <row r="202" spans="1:10">
      <c r="A202" s="5">
        <v>45036</v>
      </c>
      <c r="B202">
        <v>1</v>
      </c>
      <c r="C202" s="3" t="s">
        <v>1</v>
      </c>
      <c r="D202" t="s">
        <v>46</v>
      </c>
      <c r="E202" t="s">
        <v>50</v>
      </c>
      <c r="F202">
        <v>551</v>
      </c>
      <c r="G202">
        <v>4</v>
      </c>
      <c r="H202">
        <v>500</v>
      </c>
      <c r="I202">
        <v>300</v>
      </c>
      <c r="J202" s="3" t="s">
        <v>23</v>
      </c>
    </row>
    <row r="203" spans="1:10">
      <c r="A203" s="5">
        <v>45036</v>
      </c>
      <c r="B203">
        <v>1</v>
      </c>
      <c r="C203" s="3" t="s">
        <v>3</v>
      </c>
      <c r="D203" t="s">
        <v>46</v>
      </c>
      <c r="E203" t="s">
        <v>50</v>
      </c>
      <c r="F203">
        <v>552</v>
      </c>
      <c r="G203">
        <v>4</v>
      </c>
      <c r="H203">
        <v>500</v>
      </c>
      <c r="I203">
        <v>300</v>
      </c>
      <c r="J203" s="3" t="s">
        <v>6</v>
      </c>
    </row>
    <row r="204" spans="1:10">
      <c r="A204" s="5">
        <v>45036</v>
      </c>
      <c r="B204">
        <v>1</v>
      </c>
      <c r="C204" s="3" t="s">
        <v>0</v>
      </c>
      <c r="D204" t="s">
        <v>46</v>
      </c>
      <c r="E204" t="s">
        <v>50</v>
      </c>
      <c r="F204">
        <v>553</v>
      </c>
      <c r="G204">
        <v>4</v>
      </c>
      <c r="H204">
        <v>500</v>
      </c>
      <c r="I204">
        <v>300</v>
      </c>
      <c r="J204" s="3" t="s">
        <v>15</v>
      </c>
    </row>
    <row r="205" spans="1:10">
      <c r="A205" s="5">
        <v>45036</v>
      </c>
      <c r="B205">
        <v>1</v>
      </c>
      <c r="C205" s="3" t="s">
        <v>1</v>
      </c>
      <c r="D205" t="s">
        <v>46</v>
      </c>
      <c r="E205" t="s">
        <v>50</v>
      </c>
      <c r="F205">
        <v>554</v>
      </c>
      <c r="G205">
        <v>4</v>
      </c>
      <c r="H205">
        <v>500</v>
      </c>
      <c r="I205">
        <v>300</v>
      </c>
      <c r="J205" s="3" t="s">
        <v>24</v>
      </c>
    </row>
    <row r="206" spans="1:10">
      <c r="A206" s="5">
        <v>45038</v>
      </c>
      <c r="B206">
        <v>1</v>
      </c>
      <c r="C206" s="3" t="s">
        <v>3</v>
      </c>
      <c r="D206" t="s">
        <v>46</v>
      </c>
      <c r="E206" t="s">
        <v>50</v>
      </c>
      <c r="F206">
        <v>555</v>
      </c>
      <c r="G206">
        <v>4</v>
      </c>
      <c r="H206">
        <v>500</v>
      </c>
      <c r="I206">
        <v>300</v>
      </c>
      <c r="J206" s="3" t="s">
        <v>9</v>
      </c>
    </row>
    <row r="207" spans="1:10">
      <c r="A207" s="5">
        <v>45038</v>
      </c>
      <c r="B207">
        <v>1</v>
      </c>
      <c r="C207" s="3" t="s">
        <v>0</v>
      </c>
      <c r="D207" t="s">
        <v>45</v>
      </c>
      <c r="E207" t="s">
        <v>48</v>
      </c>
      <c r="F207">
        <v>556</v>
      </c>
      <c r="G207">
        <v>4</v>
      </c>
      <c r="H207">
        <v>500</v>
      </c>
      <c r="I207">
        <v>300</v>
      </c>
      <c r="J207" s="3" t="s">
        <v>15</v>
      </c>
    </row>
    <row r="208" spans="1:10">
      <c r="A208" s="5">
        <v>45038</v>
      </c>
      <c r="B208">
        <v>1</v>
      </c>
      <c r="C208" s="3" t="s">
        <v>1</v>
      </c>
      <c r="D208" t="s">
        <v>45</v>
      </c>
      <c r="E208" t="s">
        <v>48</v>
      </c>
      <c r="F208">
        <v>557</v>
      </c>
      <c r="G208">
        <v>20</v>
      </c>
      <c r="H208" s="3">
        <v>1000</v>
      </c>
      <c r="I208" s="3">
        <v>2500</v>
      </c>
      <c r="J208" s="3" t="s">
        <v>14</v>
      </c>
    </row>
    <row r="209" spans="1:10">
      <c r="A209" s="5">
        <v>45038</v>
      </c>
      <c r="B209">
        <v>1</v>
      </c>
      <c r="C209" s="3" t="s">
        <v>3</v>
      </c>
      <c r="D209" t="s">
        <v>46</v>
      </c>
      <c r="E209" t="s">
        <v>50</v>
      </c>
      <c r="F209">
        <v>558</v>
      </c>
      <c r="G209">
        <v>20</v>
      </c>
      <c r="H209" s="3">
        <v>1000</v>
      </c>
      <c r="I209" s="3">
        <v>2500</v>
      </c>
      <c r="J209" s="3" t="s">
        <v>15</v>
      </c>
    </row>
    <row r="210" spans="1:10">
      <c r="A210" s="5">
        <v>45040</v>
      </c>
      <c r="B210">
        <v>1</v>
      </c>
      <c r="C210" s="3" t="s">
        <v>0</v>
      </c>
      <c r="D210" t="s">
        <v>46</v>
      </c>
      <c r="E210" t="s">
        <v>50</v>
      </c>
      <c r="F210">
        <v>559</v>
      </c>
      <c r="G210">
        <v>20</v>
      </c>
      <c r="H210" s="3">
        <v>1000</v>
      </c>
      <c r="I210" s="3">
        <v>2500</v>
      </c>
      <c r="J210" s="3" t="s">
        <v>15</v>
      </c>
    </row>
    <row r="211" spans="1:10">
      <c r="A211" s="5">
        <v>45040</v>
      </c>
      <c r="B211">
        <v>1</v>
      </c>
      <c r="C211" s="3" t="s">
        <v>1</v>
      </c>
      <c r="D211" t="s">
        <v>45</v>
      </c>
      <c r="E211" t="s">
        <v>48</v>
      </c>
      <c r="F211">
        <v>560</v>
      </c>
      <c r="G211">
        <v>20</v>
      </c>
      <c r="H211" s="3">
        <v>1000</v>
      </c>
      <c r="I211" s="3">
        <v>2500</v>
      </c>
      <c r="J211" s="3" t="s">
        <v>15</v>
      </c>
    </row>
    <row r="212" spans="1:10">
      <c r="A212" s="5">
        <v>45040</v>
      </c>
      <c r="B212">
        <v>1</v>
      </c>
      <c r="C212" s="3" t="s">
        <v>3</v>
      </c>
      <c r="D212" t="s">
        <v>45</v>
      </c>
      <c r="E212" t="s">
        <v>48</v>
      </c>
      <c r="F212">
        <v>561</v>
      </c>
      <c r="G212">
        <v>20</v>
      </c>
      <c r="H212" s="3">
        <v>1000</v>
      </c>
      <c r="I212" s="3">
        <v>2500</v>
      </c>
      <c r="J212" s="3" t="s">
        <v>10</v>
      </c>
    </row>
    <row r="213" spans="1:10">
      <c r="A213" s="5">
        <v>45040</v>
      </c>
      <c r="B213">
        <v>1</v>
      </c>
      <c r="C213" s="3" t="s">
        <v>0</v>
      </c>
      <c r="D213" t="s">
        <v>45</v>
      </c>
      <c r="E213" t="s">
        <v>48</v>
      </c>
      <c r="F213">
        <v>562</v>
      </c>
      <c r="G213">
        <v>4</v>
      </c>
      <c r="H213">
        <v>500</v>
      </c>
      <c r="I213">
        <v>300</v>
      </c>
      <c r="J213" s="3" t="s">
        <v>15</v>
      </c>
    </row>
    <row r="214" spans="1:10">
      <c r="A214" s="5">
        <v>45042</v>
      </c>
      <c r="B214">
        <v>1</v>
      </c>
      <c r="C214" s="3" t="s">
        <v>1</v>
      </c>
      <c r="D214" t="s">
        <v>47</v>
      </c>
      <c r="E214" t="s">
        <v>49</v>
      </c>
      <c r="F214">
        <v>563</v>
      </c>
      <c r="G214">
        <v>4</v>
      </c>
      <c r="H214">
        <v>500</v>
      </c>
      <c r="I214">
        <v>300</v>
      </c>
      <c r="J214" s="3" t="s">
        <v>4</v>
      </c>
    </row>
    <row r="215" spans="1:10">
      <c r="A215" s="5">
        <v>45042</v>
      </c>
      <c r="B215">
        <v>1</v>
      </c>
      <c r="C215" s="3" t="s">
        <v>3</v>
      </c>
      <c r="D215" t="s">
        <v>47</v>
      </c>
      <c r="E215" t="s">
        <v>49</v>
      </c>
      <c r="F215">
        <v>564</v>
      </c>
      <c r="G215">
        <v>4</v>
      </c>
      <c r="H215">
        <v>500</v>
      </c>
      <c r="I215">
        <v>300</v>
      </c>
      <c r="J215" s="3" t="s">
        <v>7</v>
      </c>
    </row>
    <row r="216" spans="1:10">
      <c r="A216" s="5">
        <v>45042</v>
      </c>
      <c r="B216">
        <v>1</v>
      </c>
      <c r="C216" s="3" t="s">
        <v>0</v>
      </c>
      <c r="D216" t="s">
        <v>45</v>
      </c>
      <c r="E216" t="s">
        <v>48</v>
      </c>
      <c r="F216">
        <v>565</v>
      </c>
      <c r="G216">
        <v>4</v>
      </c>
      <c r="H216">
        <v>500</v>
      </c>
      <c r="I216">
        <v>300</v>
      </c>
      <c r="J216" s="3" t="s">
        <v>7</v>
      </c>
    </row>
    <row r="217" spans="1:10">
      <c r="A217" s="5">
        <v>45042</v>
      </c>
      <c r="B217">
        <v>1</v>
      </c>
      <c r="C217" s="3" t="s">
        <v>1</v>
      </c>
      <c r="D217" t="s">
        <v>45</v>
      </c>
      <c r="E217" t="s">
        <v>48</v>
      </c>
      <c r="F217">
        <v>566</v>
      </c>
      <c r="G217">
        <v>4</v>
      </c>
      <c r="H217">
        <v>500</v>
      </c>
      <c r="I217">
        <v>300</v>
      </c>
      <c r="J217" s="3" t="s">
        <v>8</v>
      </c>
    </row>
    <row r="218" spans="1:10">
      <c r="A218" s="5">
        <v>45044</v>
      </c>
      <c r="B218">
        <v>1</v>
      </c>
      <c r="C218" s="3" t="s">
        <v>3</v>
      </c>
      <c r="D218" t="s">
        <v>45</v>
      </c>
      <c r="E218" t="s">
        <v>48</v>
      </c>
      <c r="F218">
        <v>567</v>
      </c>
      <c r="G218">
        <v>4</v>
      </c>
      <c r="H218">
        <v>500</v>
      </c>
      <c r="I218">
        <v>300</v>
      </c>
      <c r="J218" s="3" t="s">
        <v>15</v>
      </c>
    </row>
    <row r="219" spans="1:10">
      <c r="A219" s="5">
        <v>45044</v>
      </c>
      <c r="B219">
        <v>1</v>
      </c>
      <c r="C219" s="3" t="s">
        <v>0</v>
      </c>
      <c r="D219" t="s">
        <v>45</v>
      </c>
      <c r="E219" t="s">
        <v>48</v>
      </c>
      <c r="F219">
        <v>568</v>
      </c>
      <c r="G219">
        <v>4</v>
      </c>
      <c r="H219">
        <v>500</v>
      </c>
      <c r="I219">
        <v>300</v>
      </c>
      <c r="J219" s="3" t="s">
        <v>17</v>
      </c>
    </row>
    <row r="220" spans="1:10">
      <c r="A220" s="5">
        <v>45044</v>
      </c>
      <c r="B220">
        <v>1</v>
      </c>
      <c r="C220" s="3" t="s">
        <v>1</v>
      </c>
      <c r="D220" t="s">
        <v>46</v>
      </c>
      <c r="E220" t="s">
        <v>50</v>
      </c>
      <c r="F220">
        <v>569</v>
      </c>
      <c r="G220">
        <v>4</v>
      </c>
      <c r="H220">
        <v>500</v>
      </c>
      <c r="I220">
        <v>300</v>
      </c>
      <c r="J220" s="3" t="s">
        <v>27</v>
      </c>
    </row>
    <row r="221" spans="1:10">
      <c r="A221" s="5">
        <v>45044</v>
      </c>
      <c r="B221">
        <v>1</v>
      </c>
      <c r="C221" s="3" t="s">
        <v>3</v>
      </c>
      <c r="D221" t="s">
        <v>46</v>
      </c>
      <c r="E221" t="s">
        <v>50</v>
      </c>
      <c r="F221">
        <v>570</v>
      </c>
      <c r="G221">
        <v>4</v>
      </c>
      <c r="H221">
        <v>500</v>
      </c>
      <c r="I221">
        <v>300</v>
      </c>
      <c r="J221" s="3" t="s">
        <v>15</v>
      </c>
    </row>
    <row r="222" spans="1:10">
      <c r="A222" s="5">
        <v>45046</v>
      </c>
      <c r="B222">
        <v>1</v>
      </c>
      <c r="C222" s="3" t="s">
        <v>0</v>
      </c>
      <c r="D222" t="s">
        <v>46</v>
      </c>
      <c r="E222" t="s">
        <v>50</v>
      </c>
      <c r="F222">
        <v>571</v>
      </c>
      <c r="G222">
        <v>5</v>
      </c>
      <c r="H222" s="3">
        <v>500</v>
      </c>
      <c r="I222" s="3">
        <v>1000</v>
      </c>
      <c r="J222" s="3" t="s">
        <v>15</v>
      </c>
    </row>
    <row r="223" spans="1:10">
      <c r="A223" s="5">
        <v>45046</v>
      </c>
      <c r="B223">
        <v>1</v>
      </c>
      <c r="C223" s="3" t="s">
        <v>1</v>
      </c>
      <c r="D223" t="s">
        <v>46</v>
      </c>
      <c r="E223" t="s">
        <v>50</v>
      </c>
      <c r="F223">
        <v>572</v>
      </c>
      <c r="G223">
        <v>30</v>
      </c>
      <c r="H223" s="3">
        <v>1000</v>
      </c>
      <c r="I223" s="3">
        <v>200</v>
      </c>
      <c r="J223" s="3" t="s">
        <v>9</v>
      </c>
    </row>
    <row r="224" spans="1:10">
      <c r="A224" s="5">
        <v>45046</v>
      </c>
      <c r="B224">
        <v>1</v>
      </c>
      <c r="C224" s="3" t="s">
        <v>3</v>
      </c>
      <c r="D224" t="s">
        <v>46</v>
      </c>
      <c r="E224" t="s">
        <v>50</v>
      </c>
      <c r="F224">
        <v>573</v>
      </c>
      <c r="G224">
        <v>30</v>
      </c>
      <c r="H224" s="3">
        <v>1000</v>
      </c>
      <c r="I224" s="3">
        <v>200</v>
      </c>
      <c r="J224" s="3" t="s">
        <v>9</v>
      </c>
    </row>
    <row r="225" spans="1:10">
      <c r="A225" s="5">
        <v>45046</v>
      </c>
      <c r="B225">
        <v>1</v>
      </c>
      <c r="C225" s="3" t="s">
        <v>0</v>
      </c>
      <c r="D225" t="s">
        <v>46</v>
      </c>
      <c r="E225" t="s">
        <v>50</v>
      </c>
      <c r="F225">
        <v>574</v>
      </c>
      <c r="G225">
        <v>30</v>
      </c>
      <c r="H225" s="3">
        <v>1000</v>
      </c>
      <c r="I225" s="3">
        <v>200</v>
      </c>
      <c r="J225" s="3" t="s">
        <v>15</v>
      </c>
    </row>
    <row r="226" spans="1:10">
      <c r="A226" s="5">
        <v>45048</v>
      </c>
      <c r="B226">
        <v>1</v>
      </c>
      <c r="C226" s="3" t="s">
        <v>1</v>
      </c>
      <c r="D226" t="s">
        <v>45</v>
      </c>
      <c r="E226" t="s">
        <v>48</v>
      </c>
      <c r="F226">
        <v>575</v>
      </c>
      <c r="G226">
        <v>30</v>
      </c>
      <c r="H226" s="3">
        <v>1000</v>
      </c>
      <c r="I226" s="3">
        <v>200</v>
      </c>
      <c r="J226" s="3" t="s">
        <v>15</v>
      </c>
    </row>
    <row r="227" spans="1:10">
      <c r="A227" s="5">
        <v>45048</v>
      </c>
      <c r="B227">
        <v>1</v>
      </c>
      <c r="C227" s="3" t="s">
        <v>3</v>
      </c>
      <c r="D227" t="s">
        <v>45</v>
      </c>
      <c r="E227" t="s">
        <v>48</v>
      </c>
      <c r="F227">
        <v>576</v>
      </c>
      <c r="G227">
        <v>4</v>
      </c>
      <c r="H227">
        <v>500</v>
      </c>
      <c r="I227">
        <v>300</v>
      </c>
      <c r="J227" s="3" t="s">
        <v>15</v>
      </c>
    </row>
    <row r="228" spans="1:10">
      <c r="A228" s="5">
        <v>45048</v>
      </c>
      <c r="B228">
        <v>1</v>
      </c>
      <c r="C228" s="3" t="s">
        <v>0</v>
      </c>
      <c r="D228" t="s">
        <v>45</v>
      </c>
      <c r="E228" t="s">
        <v>48</v>
      </c>
      <c r="F228">
        <v>577</v>
      </c>
      <c r="G228">
        <v>4</v>
      </c>
      <c r="H228">
        <v>500</v>
      </c>
      <c r="I228">
        <v>300</v>
      </c>
      <c r="J228" s="3" t="s">
        <v>5</v>
      </c>
    </row>
    <row r="229" spans="1:10">
      <c r="A229" s="5">
        <v>45048</v>
      </c>
      <c r="B229">
        <v>1</v>
      </c>
      <c r="C229" s="3" t="s">
        <v>1</v>
      </c>
      <c r="D229" t="s">
        <v>45</v>
      </c>
      <c r="E229" t="s">
        <v>48</v>
      </c>
      <c r="F229">
        <v>578</v>
      </c>
      <c r="G229">
        <v>4</v>
      </c>
      <c r="H229">
        <v>500</v>
      </c>
      <c r="I229">
        <v>300</v>
      </c>
      <c r="J229" s="3" t="s">
        <v>15</v>
      </c>
    </row>
    <row r="230" spans="1:10">
      <c r="A230" s="5">
        <v>45050</v>
      </c>
      <c r="B230">
        <v>1</v>
      </c>
      <c r="C230" s="3" t="s">
        <v>3</v>
      </c>
      <c r="D230" t="s">
        <v>45</v>
      </c>
      <c r="E230" t="s">
        <v>48</v>
      </c>
      <c r="F230">
        <v>579</v>
      </c>
      <c r="G230">
        <v>4</v>
      </c>
      <c r="H230">
        <v>500</v>
      </c>
      <c r="I230">
        <v>300</v>
      </c>
      <c r="J230" s="3" t="s">
        <v>13</v>
      </c>
    </row>
    <row r="231" spans="1:10">
      <c r="A231" s="5">
        <v>45050</v>
      </c>
      <c r="B231">
        <v>1</v>
      </c>
      <c r="C231" s="3" t="s">
        <v>0</v>
      </c>
      <c r="D231" t="s">
        <v>47</v>
      </c>
      <c r="E231" t="s">
        <v>49</v>
      </c>
      <c r="F231">
        <v>580</v>
      </c>
      <c r="G231">
        <v>4</v>
      </c>
      <c r="H231">
        <v>500</v>
      </c>
      <c r="I231">
        <v>300</v>
      </c>
      <c r="J231" s="3" t="s">
        <v>6</v>
      </c>
    </row>
    <row r="232" spans="1:10">
      <c r="A232" s="5">
        <v>45050</v>
      </c>
      <c r="B232">
        <v>1</v>
      </c>
      <c r="C232" s="3" t="s">
        <v>1</v>
      </c>
      <c r="D232" t="s">
        <v>45</v>
      </c>
      <c r="E232" t="s">
        <v>48</v>
      </c>
      <c r="F232">
        <v>581</v>
      </c>
      <c r="G232">
        <v>4</v>
      </c>
      <c r="H232">
        <v>500</v>
      </c>
      <c r="I232">
        <v>300</v>
      </c>
      <c r="J232" s="3" t="s">
        <v>15</v>
      </c>
    </row>
    <row r="233" spans="1:10">
      <c r="A233" s="5">
        <v>45050</v>
      </c>
      <c r="B233">
        <v>1</v>
      </c>
      <c r="C233" s="3" t="s">
        <v>3</v>
      </c>
      <c r="D233" t="s">
        <v>45</v>
      </c>
      <c r="E233" t="s">
        <v>48</v>
      </c>
      <c r="F233">
        <v>582</v>
      </c>
      <c r="G233">
        <v>4</v>
      </c>
      <c r="H233">
        <v>500</v>
      </c>
      <c r="I233">
        <v>300</v>
      </c>
      <c r="J233" s="3" t="s">
        <v>6</v>
      </c>
    </row>
    <row r="234" spans="1:10">
      <c r="A234" s="5">
        <v>45052</v>
      </c>
      <c r="B234">
        <v>1</v>
      </c>
      <c r="C234" s="3" t="s">
        <v>0</v>
      </c>
      <c r="D234" t="s">
        <v>46</v>
      </c>
      <c r="E234" t="s">
        <v>50</v>
      </c>
      <c r="F234">
        <v>583</v>
      </c>
      <c r="G234">
        <v>4</v>
      </c>
      <c r="H234">
        <v>500</v>
      </c>
      <c r="I234">
        <v>300</v>
      </c>
      <c r="J234" s="3" t="s">
        <v>11</v>
      </c>
    </row>
    <row r="235" spans="1:10">
      <c r="A235" s="5">
        <v>45052</v>
      </c>
      <c r="B235">
        <v>1</v>
      </c>
      <c r="C235" s="3" t="s">
        <v>1</v>
      </c>
      <c r="D235" t="s">
        <v>46</v>
      </c>
      <c r="E235" t="s">
        <v>50</v>
      </c>
      <c r="F235">
        <v>584</v>
      </c>
      <c r="G235">
        <v>4</v>
      </c>
      <c r="H235">
        <v>500</v>
      </c>
      <c r="I235">
        <v>300</v>
      </c>
      <c r="J235" s="3" t="s">
        <v>11</v>
      </c>
    </row>
    <row r="236" spans="1:10">
      <c r="A236" s="5">
        <v>45052</v>
      </c>
      <c r="B236">
        <v>1</v>
      </c>
      <c r="C236" s="3" t="s">
        <v>3</v>
      </c>
      <c r="D236" t="s">
        <v>45</v>
      </c>
      <c r="E236" t="s">
        <v>48</v>
      </c>
      <c r="F236">
        <v>585</v>
      </c>
      <c r="G236">
        <v>4</v>
      </c>
      <c r="H236">
        <v>500</v>
      </c>
      <c r="I236">
        <v>300</v>
      </c>
      <c r="J236" s="3" t="s">
        <v>13</v>
      </c>
    </row>
    <row r="237" spans="1:10">
      <c r="A237" s="5">
        <v>45052</v>
      </c>
      <c r="B237">
        <v>1</v>
      </c>
      <c r="C237" s="3" t="s">
        <v>0</v>
      </c>
      <c r="D237" t="s">
        <v>45</v>
      </c>
      <c r="E237" t="s">
        <v>48</v>
      </c>
      <c r="F237">
        <v>586</v>
      </c>
      <c r="G237">
        <v>4</v>
      </c>
      <c r="H237">
        <v>500</v>
      </c>
      <c r="I237">
        <v>300</v>
      </c>
      <c r="J237" s="3" t="s">
        <v>4</v>
      </c>
    </row>
    <row r="238" spans="1:10">
      <c r="A238" s="5">
        <v>45054</v>
      </c>
      <c r="B238">
        <v>1</v>
      </c>
      <c r="C238" s="3" t="s">
        <v>1</v>
      </c>
      <c r="D238" t="s">
        <v>45</v>
      </c>
      <c r="E238" t="s">
        <v>48</v>
      </c>
      <c r="F238">
        <v>587</v>
      </c>
      <c r="G238">
        <v>20</v>
      </c>
      <c r="H238" s="3">
        <v>1000</v>
      </c>
      <c r="I238" s="3">
        <v>2500</v>
      </c>
      <c r="J238" s="3" t="s">
        <v>4</v>
      </c>
    </row>
    <row r="239" spans="1:10">
      <c r="A239" s="5">
        <v>45054</v>
      </c>
      <c r="B239">
        <v>1</v>
      </c>
      <c r="C239" s="3" t="s">
        <v>3</v>
      </c>
      <c r="D239" t="s">
        <v>47</v>
      </c>
      <c r="E239" t="s">
        <v>49</v>
      </c>
      <c r="F239">
        <v>588</v>
      </c>
      <c r="G239">
        <v>20</v>
      </c>
      <c r="H239" s="3">
        <v>1000</v>
      </c>
      <c r="I239" s="3">
        <v>2500</v>
      </c>
      <c r="J239" s="3" t="s">
        <v>6</v>
      </c>
    </row>
    <row r="240" spans="1:10">
      <c r="A240" s="5">
        <v>45054</v>
      </c>
      <c r="B240">
        <v>1</v>
      </c>
      <c r="C240" s="3" t="s">
        <v>0</v>
      </c>
      <c r="D240" t="s">
        <v>47</v>
      </c>
      <c r="E240" t="s">
        <v>49</v>
      </c>
      <c r="F240">
        <v>589</v>
      </c>
      <c r="G240">
        <v>20</v>
      </c>
      <c r="H240" s="3">
        <v>1000</v>
      </c>
      <c r="I240" s="3">
        <v>2500</v>
      </c>
      <c r="J240" s="3" t="s">
        <v>6</v>
      </c>
    </row>
    <row r="241" spans="1:10">
      <c r="A241" s="5">
        <v>45054</v>
      </c>
      <c r="B241">
        <v>1</v>
      </c>
      <c r="C241" s="3" t="s">
        <v>1</v>
      </c>
      <c r="D241" t="s">
        <v>45</v>
      </c>
      <c r="E241" t="s">
        <v>48</v>
      </c>
      <c r="F241">
        <v>590</v>
      </c>
      <c r="G241">
        <v>20</v>
      </c>
      <c r="H241" s="3">
        <v>1000</v>
      </c>
      <c r="I241" s="3">
        <v>2500</v>
      </c>
      <c r="J241" s="3" t="s">
        <v>5</v>
      </c>
    </row>
    <row r="242" spans="1:10">
      <c r="A242" s="5">
        <v>45056</v>
      </c>
      <c r="B242">
        <v>1</v>
      </c>
      <c r="C242" s="3" t="s">
        <v>3</v>
      </c>
      <c r="D242" t="s">
        <v>45</v>
      </c>
      <c r="E242" t="s">
        <v>48</v>
      </c>
      <c r="F242">
        <v>591</v>
      </c>
      <c r="G242">
        <v>20</v>
      </c>
      <c r="H242" s="3">
        <v>1000</v>
      </c>
      <c r="I242" s="3">
        <v>2500</v>
      </c>
      <c r="J242" s="3" t="s">
        <v>5</v>
      </c>
    </row>
    <row r="243" spans="1:10">
      <c r="A243" s="5">
        <v>45056</v>
      </c>
      <c r="B243">
        <v>1</v>
      </c>
      <c r="C243" s="3" t="s">
        <v>0</v>
      </c>
      <c r="D243" t="s">
        <v>45</v>
      </c>
      <c r="E243" t="s">
        <v>48</v>
      </c>
      <c r="F243">
        <v>592</v>
      </c>
      <c r="G243">
        <v>4</v>
      </c>
      <c r="H243">
        <v>500</v>
      </c>
      <c r="I243">
        <v>300</v>
      </c>
      <c r="J243" s="3" t="s">
        <v>13</v>
      </c>
    </row>
    <row r="244" spans="1:10">
      <c r="A244" s="5">
        <v>45056</v>
      </c>
      <c r="B244">
        <v>1</v>
      </c>
      <c r="C244" s="3" t="s">
        <v>1</v>
      </c>
      <c r="D244" t="s">
        <v>45</v>
      </c>
      <c r="E244" t="s">
        <v>48</v>
      </c>
      <c r="F244">
        <v>593</v>
      </c>
      <c r="G244">
        <v>4</v>
      </c>
      <c r="H244">
        <v>500</v>
      </c>
      <c r="I244">
        <v>300</v>
      </c>
      <c r="J244" s="3" t="s">
        <v>15</v>
      </c>
    </row>
    <row r="245" spans="1:10">
      <c r="A245" s="5">
        <v>45056</v>
      </c>
      <c r="B245">
        <v>1</v>
      </c>
      <c r="C245" s="3" t="s">
        <v>3</v>
      </c>
      <c r="D245" t="s">
        <v>46</v>
      </c>
      <c r="E245" t="s">
        <v>50</v>
      </c>
      <c r="F245">
        <v>594</v>
      </c>
      <c r="G245">
        <v>4</v>
      </c>
      <c r="H245">
        <v>500</v>
      </c>
      <c r="I245">
        <v>300</v>
      </c>
      <c r="J245" s="3" t="s">
        <v>8</v>
      </c>
    </row>
    <row r="246" spans="1:10">
      <c r="A246" s="5">
        <v>45058</v>
      </c>
      <c r="B246">
        <v>1</v>
      </c>
      <c r="C246" s="3" t="s">
        <v>0</v>
      </c>
      <c r="D246" t="s">
        <v>46</v>
      </c>
      <c r="E246" t="s">
        <v>50</v>
      </c>
      <c r="F246">
        <v>595</v>
      </c>
      <c r="G246">
        <v>4</v>
      </c>
      <c r="H246">
        <v>500</v>
      </c>
      <c r="I246">
        <v>300</v>
      </c>
      <c r="J246" s="3" t="s">
        <v>4</v>
      </c>
    </row>
    <row r="247" spans="1:10">
      <c r="A247" s="5">
        <v>45058</v>
      </c>
      <c r="B247">
        <v>1</v>
      </c>
      <c r="C247" s="3" t="s">
        <v>1</v>
      </c>
      <c r="D247" t="s">
        <v>46</v>
      </c>
      <c r="E247" t="s">
        <v>50</v>
      </c>
      <c r="F247">
        <v>596</v>
      </c>
      <c r="G247">
        <v>4</v>
      </c>
      <c r="H247">
        <v>500</v>
      </c>
      <c r="I247">
        <v>300</v>
      </c>
      <c r="J247" s="3" t="s">
        <v>8</v>
      </c>
    </row>
    <row r="248" spans="1:10">
      <c r="A248" s="5">
        <v>45058</v>
      </c>
      <c r="B248">
        <v>1</v>
      </c>
      <c r="C248" s="3" t="s">
        <v>3</v>
      </c>
      <c r="D248" t="s">
        <v>46</v>
      </c>
      <c r="E248" t="s">
        <v>50</v>
      </c>
      <c r="F248">
        <v>597</v>
      </c>
      <c r="G248">
        <v>4</v>
      </c>
      <c r="H248">
        <v>500</v>
      </c>
      <c r="I248">
        <v>300</v>
      </c>
      <c r="J248" s="3" t="s">
        <v>15</v>
      </c>
    </row>
    <row r="249" spans="1:10">
      <c r="A249" s="5">
        <v>45058</v>
      </c>
      <c r="B249">
        <v>1</v>
      </c>
      <c r="C249" s="3" t="s">
        <v>0</v>
      </c>
      <c r="D249" t="s">
        <v>46</v>
      </c>
      <c r="E249" t="s">
        <v>50</v>
      </c>
      <c r="F249">
        <v>598</v>
      </c>
      <c r="G249">
        <v>4</v>
      </c>
      <c r="H249">
        <v>500</v>
      </c>
      <c r="I249">
        <v>300</v>
      </c>
      <c r="J249" s="3" t="s">
        <v>15</v>
      </c>
    </row>
    <row r="250" spans="1:10">
      <c r="A250" s="5">
        <v>45060</v>
      </c>
      <c r="B250">
        <v>1</v>
      </c>
      <c r="C250" s="3" t="s">
        <v>1</v>
      </c>
      <c r="D250" t="s">
        <v>46</v>
      </c>
      <c r="E250" t="s">
        <v>50</v>
      </c>
      <c r="F250">
        <v>599</v>
      </c>
      <c r="G250">
        <v>4</v>
      </c>
      <c r="H250">
        <v>500</v>
      </c>
      <c r="I250">
        <v>300</v>
      </c>
      <c r="J250" s="3" t="s">
        <v>15</v>
      </c>
    </row>
    <row r="251" spans="1:10">
      <c r="A251" s="5">
        <v>45060</v>
      </c>
      <c r="B251">
        <v>1</v>
      </c>
      <c r="C251" s="3" t="s">
        <v>3</v>
      </c>
      <c r="D251" t="s">
        <v>45</v>
      </c>
      <c r="E251" t="s">
        <v>48</v>
      </c>
      <c r="F251">
        <v>600</v>
      </c>
      <c r="G251">
        <v>4</v>
      </c>
      <c r="H251">
        <v>500</v>
      </c>
      <c r="I251">
        <v>300</v>
      </c>
      <c r="J251" s="3" t="s">
        <v>8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F4243-C243-4B07-B46B-34D046E7114C}">
  <dimension ref="A1:E366"/>
  <sheetViews>
    <sheetView workbookViewId="0">
      <selection activeCell="C1" sqref="C1"/>
    </sheetView>
  </sheetViews>
  <sheetFormatPr defaultRowHeight="15"/>
  <cols>
    <col min="1" max="1" width="9.85546875" bestFit="1" customWidth="1"/>
    <col min="2" max="2" width="9.85546875" customWidth="1"/>
    <col min="3" max="3" width="9.42578125" customWidth="1"/>
  </cols>
  <sheetData>
    <row r="1" spans="1:5">
      <c r="A1" t="s">
        <v>53</v>
      </c>
      <c r="B1" t="s">
        <v>52</v>
      </c>
      <c r="C1" t="s">
        <v>35</v>
      </c>
      <c r="D1" t="s">
        <v>36</v>
      </c>
      <c r="E1" t="s">
        <v>37</v>
      </c>
    </row>
    <row r="2" spans="1:5">
      <c r="A2" s="5">
        <v>44927</v>
      </c>
      <c r="B2" s="3">
        <f>MONTH(Shifts[[#This Row],[Date]])</f>
        <v>1</v>
      </c>
      <c r="C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" spans="1:5">
      <c r="A3" s="5">
        <v>44928</v>
      </c>
      <c r="B3" s="3">
        <f>MONTH(Shifts[[#This Row],[Date]])</f>
        <v>1</v>
      </c>
      <c r="C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4" spans="1:5">
      <c r="A4" s="5">
        <v>44929</v>
      </c>
      <c r="B4" s="3">
        <f>MONTH(Shifts[[#This Row],[Date]])</f>
        <v>1</v>
      </c>
      <c r="C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5" spans="1:5">
      <c r="A5" s="5">
        <v>44930</v>
      </c>
      <c r="B5" s="3">
        <f>MONTH(Shifts[[#This Row],[Date]])</f>
        <v>1</v>
      </c>
      <c r="C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6" spans="1:5">
      <c r="A6" s="5">
        <v>44931</v>
      </c>
      <c r="B6" s="3">
        <f>MONTH(Shifts[[#This Row],[Date]])</f>
        <v>1</v>
      </c>
      <c r="C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7" spans="1:5">
      <c r="A7" s="5">
        <v>44932</v>
      </c>
      <c r="B7" s="3">
        <f>MONTH(Shifts[[#This Row],[Date]])</f>
        <v>1</v>
      </c>
      <c r="C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8" spans="1:5">
      <c r="A8" s="5">
        <v>44933</v>
      </c>
      <c r="B8" s="3">
        <f>MONTH(Shifts[[#This Row],[Date]])</f>
        <v>1</v>
      </c>
      <c r="C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9" spans="1:5">
      <c r="A9" s="5">
        <v>44934</v>
      </c>
      <c r="B9" s="3">
        <f>MONTH(Shifts[[#This Row],[Date]])</f>
        <v>1</v>
      </c>
      <c r="C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0" spans="1:5">
      <c r="A10" s="5">
        <v>44935</v>
      </c>
      <c r="B10" s="3">
        <f>MONTH(Shifts[[#This Row],[Date]])</f>
        <v>1</v>
      </c>
      <c r="C1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1" spans="1:5">
      <c r="A11" s="5">
        <v>44936</v>
      </c>
      <c r="B11" s="3">
        <f>MONTH(Shifts[[#This Row],[Date]])</f>
        <v>1</v>
      </c>
      <c r="C1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1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2" spans="1:5">
      <c r="A12" s="5">
        <v>44937</v>
      </c>
      <c r="B12" s="3">
        <f>MONTH(Shifts[[#This Row],[Date]])</f>
        <v>1</v>
      </c>
      <c r="C1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3" spans="1:5">
      <c r="A13" s="5">
        <v>44938</v>
      </c>
      <c r="B13" s="3">
        <f>MONTH(Shifts[[#This Row],[Date]])</f>
        <v>1</v>
      </c>
      <c r="C1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1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4" spans="1:5">
      <c r="A14" s="5">
        <v>44939</v>
      </c>
      <c r="B14" s="3">
        <f>MONTH(Shifts[[#This Row],[Date]])</f>
        <v>1</v>
      </c>
      <c r="C1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5" spans="1:5">
      <c r="A15" s="5">
        <v>44940</v>
      </c>
      <c r="B15" s="3">
        <f>MONTH(Shifts[[#This Row],[Date]])</f>
        <v>1</v>
      </c>
      <c r="C1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1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6" spans="1:5">
      <c r="A16" s="5">
        <v>44941</v>
      </c>
      <c r="B16" s="3">
        <f>MONTH(Shifts[[#This Row],[Date]])</f>
        <v>1</v>
      </c>
      <c r="C1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7" spans="1:5">
      <c r="A17" s="5">
        <v>44942</v>
      </c>
      <c r="B17" s="3">
        <f>MONTH(Shifts[[#This Row],[Date]])</f>
        <v>1</v>
      </c>
      <c r="C1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1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1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8" spans="1:5">
      <c r="A18" s="5">
        <v>44943</v>
      </c>
      <c r="B18" s="3">
        <f>MONTH(Shifts[[#This Row],[Date]])</f>
        <v>1</v>
      </c>
      <c r="C1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9" spans="1:5">
      <c r="A19" s="5">
        <v>44944</v>
      </c>
      <c r="B19" s="3">
        <f>MONTH(Shifts[[#This Row],[Date]])</f>
        <v>1</v>
      </c>
      <c r="C1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2</v>
      </c>
      <c r="D1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20" spans="1:5">
      <c r="A20" s="5">
        <v>44945</v>
      </c>
      <c r="B20" s="3">
        <f>MONTH(Shifts[[#This Row],[Date]])</f>
        <v>1</v>
      </c>
      <c r="C2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1" spans="1:5">
      <c r="A21" s="5">
        <v>44946</v>
      </c>
      <c r="B21" s="3">
        <f>MONTH(Shifts[[#This Row],[Date]])</f>
        <v>1</v>
      </c>
      <c r="C2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2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2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22" spans="1:5">
      <c r="A22" s="5">
        <v>44947</v>
      </c>
      <c r="B22" s="3">
        <f>MONTH(Shifts[[#This Row],[Date]])</f>
        <v>1</v>
      </c>
      <c r="C2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3" spans="1:5">
      <c r="A23" s="5">
        <v>44948</v>
      </c>
      <c r="B23" s="3">
        <f>MONTH(Shifts[[#This Row],[Date]])</f>
        <v>1</v>
      </c>
      <c r="C2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2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2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24" spans="1:5">
      <c r="A24" s="5">
        <v>44949</v>
      </c>
      <c r="B24" s="3">
        <f>MONTH(Shifts[[#This Row],[Date]])</f>
        <v>1</v>
      </c>
      <c r="C2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5" spans="1:5">
      <c r="A25" s="5">
        <v>44950</v>
      </c>
      <c r="B25" s="3">
        <f>MONTH(Shifts[[#This Row],[Date]])</f>
        <v>1</v>
      </c>
      <c r="C2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2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2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26" spans="1:5">
      <c r="A26" s="5">
        <v>44951</v>
      </c>
      <c r="B26" s="3">
        <f>MONTH(Shifts[[#This Row],[Date]])</f>
        <v>1</v>
      </c>
      <c r="C2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7" spans="1:5">
      <c r="A27" s="5">
        <v>44952</v>
      </c>
      <c r="B27" s="3">
        <f>MONTH(Shifts[[#This Row],[Date]])</f>
        <v>1</v>
      </c>
      <c r="C2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2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2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28" spans="1:5">
      <c r="A28" s="5">
        <v>44953</v>
      </c>
      <c r="B28" s="3">
        <f>MONTH(Shifts[[#This Row],[Date]])</f>
        <v>1</v>
      </c>
      <c r="C2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9" spans="1:5">
      <c r="A29" s="5">
        <v>44954</v>
      </c>
      <c r="B29" s="3">
        <f>MONTH(Shifts[[#This Row],[Date]])</f>
        <v>1</v>
      </c>
      <c r="C2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2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2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30" spans="1:5">
      <c r="A30" s="5">
        <v>44955</v>
      </c>
      <c r="B30" s="3">
        <f>MONTH(Shifts[[#This Row],[Date]])</f>
        <v>1</v>
      </c>
      <c r="C3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1" spans="1:5">
      <c r="A31" s="5">
        <v>44956</v>
      </c>
      <c r="B31" s="3">
        <f>MONTH(Shifts[[#This Row],[Date]])</f>
        <v>1</v>
      </c>
      <c r="C3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3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3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32" spans="1:5">
      <c r="A32" s="5">
        <v>44957</v>
      </c>
      <c r="B32" s="3">
        <f>MONTH(Shifts[[#This Row],[Date]])</f>
        <v>1</v>
      </c>
      <c r="C3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3" spans="1:5">
      <c r="A33" s="5">
        <v>44958</v>
      </c>
      <c r="B33" s="3">
        <f>MONTH(Shifts[[#This Row],[Date]])</f>
        <v>2</v>
      </c>
      <c r="C3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2</v>
      </c>
      <c r="D3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3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34" spans="1:5">
      <c r="A34" s="5">
        <v>44959</v>
      </c>
      <c r="B34" s="3">
        <f>MONTH(Shifts[[#This Row],[Date]])</f>
        <v>2</v>
      </c>
      <c r="C3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5" spans="1:5">
      <c r="A35" s="5">
        <v>44960</v>
      </c>
      <c r="B35" s="3">
        <f>MONTH(Shifts[[#This Row],[Date]])</f>
        <v>2</v>
      </c>
      <c r="C3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3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3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36" spans="1:5">
      <c r="A36" s="5">
        <v>44961</v>
      </c>
      <c r="B36" s="3">
        <f>MONTH(Shifts[[#This Row],[Date]])</f>
        <v>2</v>
      </c>
      <c r="C3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7" spans="1:5">
      <c r="A37" s="5">
        <v>44962</v>
      </c>
      <c r="B37" s="3">
        <f>MONTH(Shifts[[#This Row],[Date]])</f>
        <v>2</v>
      </c>
      <c r="C3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3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3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38" spans="1:5">
      <c r="A38" s="5">
        <v>44963</v>
      </c>
      <c r="B38" s="3">
        <f>MONTH(Shifts[[#This Row],[Date]])</f>
        <v>2</v>
      </c>
      <c r="C3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9" spans="1:5">
      <c r="A39" s="5">
        <v>44964</v>
      </c>
      <c r="B39" s="3">
        <f>MONTH(Shifts[[#This Row],[Date]])</f>
        <v>2</v>
      </c>
      <c r="C3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3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3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40" spans="1:5">
      <c r="A40" s="5">
        <v>44965</v>
      </c>
      <c r="B40" s="3">
        <f>MONTH(Shifts[[#This Row],[Date]])</f>
        <v>2</v>
      </c>
      <c r="C4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4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4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41" spans="1:5">
      <c r="A41" s="5">
        <v>44966</v>
      </c>
      <c r="B41" s="3">
        <f>MONTH(Shifts[[#This Row],[Date]])</f>
        <v>2</v>
      </c>
      <c r="C4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4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4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42" spans="1:5">
      <c r="A42" s="5">
        <v>44967</v>
      </c>
      <c r="B42" s="3">
        <f>MONTH(Shifts[[#This Row],[Date]])</f>
        <v>2</v>
      </c>
      <c r="C4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4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4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43" spans="1:5">
      <c r="A43" s="5">
        <v>44968</v>
      </c>
      <c r="B43" s="3">
        <f>MONTH(Shifts[[#This Row],[Date]])</f>
        <v>2</v>
      </c>
      <c r="C4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4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4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44" spans="1:5">
      <c r="A44" s="5">
        <v>44969</v>
      </c>
      <c r="B44" s="3">
        <f>MONTH(Shifts[[#This Row],[Date]])</f>
        <v>2</v>
      </c>
      <c r="C4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4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4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45" spans="1:5">
      <c r="A45" s="5">
        <v>44970</v>
      </c>
      <c r="B45" s="3">
        <f>MONTH(Shifts[[#This Row],[Date]])</f>
        <v>2</v>
      </c>
      <c r="C4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4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4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46" spans="1:5">
      <c r="A46" s="5">
        <v>44971</v>
      </c>
      <c r="B46" s="3">
        <f>MONTH(Shifts[[#This Row],[Date]])</f>
        <v>2</v>
      </c>
      <c r="C4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4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4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47" spans="1:5">
      <c r="A47" s="5">
        <v>44972</v>
      </c>
      <c r="B47" s="3">
        <f>MONTH(Shifts[[#This Row],[Date]])</f>
        <v>2</v>
      </c>
      <c r="C4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4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4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48" spans="1:5">
      <c r="A48" s="5">
        <v>44973</v>
      </c>
      <c r="B48" s="3">
        <f>MONTH(Shifts[[#This Row],[Date]])</f>
        <v>2</v>
      </c>
      <c r="C4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4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4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49" spans="1:5">
      <c r="A49" s="5">
        <v>44974</v>
      </c>
      <c r="B49" s="3">
        <f>MONTH(Shifts[[#This Row],[Date]])</f>
        <v>2</v>
      </c>
      <c r="C4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2</v>
      </c>
      <c r="D4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4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50" spans="1:5">
      <c r="A50" s="5">
        <v>44975</v>
      </c>
      <c r="B50" s="3">
        <f>MONTH(Shifts[[#This Row],[Date]])</f>
        <v>2</v>
      </c>
      <c r="C5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5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5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51" spans="1:5">
      <c r="A51" s="5">
        <v>44976</v>
      </c>
      <c r="B51" s="3">
        <f>MONTH(Shifts[[#This Row],[Date]])</f>
        <v>2</v>
      </c>
      <c r="C5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5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5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52" spans="1:5">
      <c r="A52" s="5">
        <v>44977</v>
      </c>
      <c r="B52" s="3">
        <f>MONTH(Shifts[[#This Row],[Date]])</f>
        <v>2</v>
      </c>
      <c r="C5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5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5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53" spans="1:5">
      <c r="A53" s="5">
        <v>44978</v>
      </c>
      <c r="B53" s="3">
        <f>MONTH(Shifts[[#This Row],[Date]])</f>
        <v>2</v>
      </c>
      <c r="C5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5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5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54" spans="1:5">
      <c r="A54" s="5">
        <v>44979</v>
      </c>
      <c r="B54" s="3">
        <f>MONTH(Shifts[[#This Row],[Date]])</f>
        <v>2</v>
      </c>
      <c r="C5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5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5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55" spans="1:5">
      <c r="A55" s="5">
        <v>44980</v>
      </c>
      <c r="B55" s="3">
        <f>MONTH(Shifts[[#This Row],[Date]])</f>
        <v>2</v>
      </c>
      <c r="C5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5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5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56" spans="1:5">
      <c r="A56" s="5">
        <v>44981</v>
      </c>
      <c r="B56" s="3">
        <f>MONTH(Shifts[[#This Row],[Date]])</f>
        <v>2</v>
      </c>
      <c r="C5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5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5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57" spans="1:5">
      <c r="A57" s="5">
        <v>44982</v>
      </c>
      <c r="B57" s="3">
        <f>MONTH(Shifts[[#This Row],[Date]])</f>
        <v>2</v>
      </c>
      <c r="C5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5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5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58" spans="1:5">
      <c r="A58" s="5">
        <v>44983</v>
      </c>
      <c r="B58" s="3">
        <f>MONTH(Shifts[[#This Row],[Date]])</f>
        <v>2</v>
      </c>
      <c r="C5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5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5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59" spans="1:5">
      <c r="A59" s="5">
        <v>44984</v>
      </c>
      <c r="B59" s="3">
        <f>MONTH(Shifts[[#This Row],[Date]])</f>
        <v>2</v>
      </c>
      <c r="C5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5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5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60" spans="1:5">
      <c r="A60" s="5">
        <v>44985</v>
      </c>
      <c r="B60" s="3">
        <f>MONTH(Shifts[[#This Row],[Date]])</f>
        <v>2</v>
      </c>
      <c r="C6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6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6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61" spans="1:5">
      <c r="A61" s="5">
        <v>44986</v>
      </c>
      <c r="B61" s="3">
        <f>MONTH(Shifts[[#This Row],[Date]])</f>
        <v>3</v>
      </c>
      <c r="C6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6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6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62" spans="1:5">
      <c r="A62" s="5">
        <v>44987</v>
      </c>
      <c r="B62" s="3">
        <f>MONTH(Shifts[[#This Row],[Date]])</f>
        <v>3</v>
      </c>
      <c r="C6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6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6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63" spans="1:5">
      <c r="A63" s="5">
        <v>44988</v>
      </c>
      <c r="B63" s="3">
        <f>MONTH(Shifts[[#This Row],[Date]])</f>
        <v>3</v>
      </c>
      <c r="C6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6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6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64" spans="1:5">
      <c r="A64" s="5">
        <v>44989</v>
      </c>
      <c r="B64" s="3">
        <f>MONTH(Shifts[[#This Row],[Date]])</f>
        <v>3</v>
      </c>
      <c r="C6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6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6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65" spans="1:5">
      <c r="A65" s="5">
        <v>44990</v>
      </c>
      <c r="B65" s="3">
        <f>MONTH(Shifts[[#This Row],[Date]])</f>
        <v>3</v>
      </c>
      <c r="C6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6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6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66" spans="1:5">
      <c r="A66" s="5">
        <v>44991</v>
      </c>
      <c r="B66" s="3">
        <f>MONTH(Shifts[[#This Row],[Date]])</f>
        <v>3</v>
      </c>
      <c r="C6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6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6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67" spans="1:5">
      <c r="A67" s="5">
        <v>44992</v>
      </c>
      <c r="B67" s="3">
        <f>MONTH(Shifts[[#This Row],[Date]])</f>
        <v>3</v>
      </c>
      <c r="C6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6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6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68" spans="1:5">
      <c r="A68" s="5">
        <v>44993</v>
      </c>
      <c r="B68" s="3">
        <f>MONTH(Shifts[[#This Row],[Date]])</f>
        <v>3</v>
      </c>
      <c r="C6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6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6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69" spans="1:5">
      <c r="A69" s="5">
        <v>44994</v>
      </c>
      <c r="B69" s="3">
        <f>MONTH(Shifts[[#This Row],[Date]])</f>
        <v>3</v>
      </c>
      <c r="C6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6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6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70" spans="1:5">
      <c r="A70" s="5">
        <v>44995</v>
      </c>
      <c r="B70" s="3">
        <f>MONTH(Shifts[[#This Row],[Date]])</f>
        <v>3</v>
      </c>
      <c r="C7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7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7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71" spans="1:5">
      <c r="A71" s="5">
        <v>44996</v>
      </c>
      <c r="B71" s="3">
        <f>MONTH(Shifts[[#This Row],[Date]])</f>
        <v>3</v>
      </c>
      <c r="C7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7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7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72" spans="1:5">
      <c r="A72" s="5">
        <v>44997</v>
      </c>
      <c r="B72" s="3">
        <f>MONTH(Shifts[[#This Row],[Date]])</f>
        <v>3</v>
      </c>
      <c r="C7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7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7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73" spans="1:5">
      <c r="A73" s="5">
        <v>44998</v>
      </c>
      <c r="B73" s="3">
        <f>MONTH(Shifts[[#This Row],[Date]])</f>
        <v>3</v>
      </c>
      <c r="C7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7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7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74" spans="1:5">
      <c r="A74" s="5">
        <v>44999</v>
      </c>
      <c r="B74" s="3">
        <f>MONTH(Shifts[[#This Row],[Date]])</f>
        <v>3</v>
      </c>
      <c r="C7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7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7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75" spans="1:5">
      <c r="A75" s="5">
        <v>45000</v>
      </c>
      <c r="B75" s="3">
        <f>MONTH(Shifts[[#This Row],[Date]])</f>
        <v>3</v>
      </c>
      <c r="C7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7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7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76" spans="1:5">
      <c r="A76" s="5">
        <v>45001</v>
      </c>
      <c r="B76" s="3">
        <f>MONTH(Shifts[[#This Row],[Date]])</f>
        <v>3</v>
      </c>
      <c r="C7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7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7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77" spans="1:5">
      <c r="A77" s="5">
        <v>45002</v>
      </c>
      <c r="B77" s="3">
        <f>MONTH(Shifts[[#This Row],[Date]])</f>
        <v>3</v>
      </c>
      <c r="C7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7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7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78" spans="1:5">
      <c r="A78" s="5">
        <v>45003</v>
      </c>
      <c r="B78" s="3">
        <f>MONTH(Shifts[[#This Row],[Date]])</f>
        <v>3</v>
      </c>
      <c r="C7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7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7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79" spans="1:5">
      <c r="A79" s="5">
        <v>45004</v>
      </c>
      <c r="B79" s="3">
        <f>MONTH(Shifts[[#This Row],[Date]])</f>
        <v>3</v>
      </c>
      <c r="C7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7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7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80" spans="1:5">
      <c r="A80" s="5">
        <v>45005</v>
      </c>
      <c r="B80" s="3">
        <f>MONTH(Shifts[[#This Row],[Date]])</f>
        <v>3</v>
      </c>
      <c r="C8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8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8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81" spans="1:5">
      <c r="A81" s="5">
        <v>45006</v>
      </c>
      <c r="B81" s="3">
        <f>MONTH(Shifts[[#This Row],[Date]])</f>
        <v>3</v>
      </c>
      <c r="C8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8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8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82" spans="1:5">
      <c r="A82" s="5">
        <v>45007</v>
      </c>
      <c r="B82" s="3">
        <f>MONTH(Shifts[[#This Row],[Date]])</f>
        <v>3</v>
      </c>
      <c r="C8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8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8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83" spans="1:5">
      <c r="A83" s="5">
        <v>45008</v>
      </c>
      <c r="B83" s="3">
        <f>MONTH(Shifts[[#This Row],[Date]])</f>
        <v>3</v>
      </c>
      <c r="C8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8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8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84" spans="1:5">
      <c r="A84" s="5">
        <v>45009</v>
      </c>
      <c r="B84" s="3">
        <f>MONTH(Shifts[[#This Row],[Date]])</f>
        <v>3</v>
      </c>
      <c r="C8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8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8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85" spans="1:5">
      <c r="A85" s="5">
        <v>45010</v>
      </c>
      <c r="B85" s="3">
        <f>MONTH(Shifts[[#This Row],[Date]])</f>
        <v>3</v>
      </c>
      <c r="C8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8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8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86" spans="1:5">
      <c r="A86" s="5">
        <v>45011</v>
      </c>
      <c r="B86" s="3">
        <f>MONTH(Shifts[[#This Row],[Date]])</f>
        <v>3</v>
      </c>
      <c r="C8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8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8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87" spans="1:5">
      <c r="A87" s="5">
        <v>45012</v>
      </c>
      <c r="B87" s="3">
        <f>MONTH(Shifts[[#This Row],[Date]])</f>
        <v>3</v>
      </c>
      <c r="C8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8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8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88" spans="1:5">
      <c r="A88" s="5">
        <v>45013</v>
      </c>
      <c r="B88" s="3">
        <f>MONTH(Shifts[[#This Row],[Date]])</f>
        <v>3</v>
      </c>
      <c r="C8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8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8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89" spans="1:5">
      <c r="A89" s="5">
        <v>45014</v>
      </c>
      <c r="B89" s="3">
        <f>MONTH(Shifts[[#This Row],[Date]])</f>
        <v>3</v>
      </c>
      <c r="C8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2</v>
      </c>
      <c r="D8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8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90" spans="1:5">
      <c r="A90" s="5">
        <v>45015</v>
      </c>
      <c r="B90" s="3">
        <f>MONTH(Shifts[[#This Row],[Date]])</f>
        <v>3</v>
      </c>
      <c r="C9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9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9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91" spans="1:5">
      <c r="A91" s="5">
        <v>45016</v>
      </c>
      <c r="B91" s="3">
        <f>MONTH(Shifts[[#This Row],[Date]])</f>
        <v>3</v>
      </c>
      <c r="C9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9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9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92" spans="1:5">
      <c r="A92" s="5">
        <v>45017</v>
      </c>
      <c r="B92" s="3">
        <f>MONTH(Shifts[[#This Row],[Date]])</f>
        <v>4</v>
      </c>
      <c r="C9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9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9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93" spans="1:5">
      <c r="A93" s="5">
        <v>45018</v>
      </c>
      <c r="B93" s="3">
        <f>MONTH(Shifts[[#This Row],[Date]])</f>
        <v>4</v>
      </c>
      <c r="C9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9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9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94" spans="1:5">
      <c r="A94" s="5">
        <v>45019</v>
      </c>
      <c r="B94" s="3">
        <f>MONTH(Shifts[[#This Row],[Date]])</f>
        <v>4</v>
      </c>
      <c r="C9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9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9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95" spans="1:5">
      <c r="A95" s="5">
        <v>45020</v>
      </c>
      <c r="B95" s="3">
        <f>MONTH(Shifts[[#This Row],[Date]])</f>
        <v>4</v>
      </c>
      <c r="C9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9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9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96" spans="1:5">
      <c r="A96" s="5">
        <v>45021</v>
      </c>
      <c r="B96" s="3">
        <f>MONTH(Shifts[[#This Row],[Date]])</f>
        <v>4</v>
      </c>
      <c r="C9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9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9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97" spans="1:5">
      <c r="A97" s="5">
        <v>45022</v>
      </c>
      <c r="B97" s="3">
        <f>MONTH(Shifts[[#This Row],[Date]])</f>
        <v>4</v>
      </c>
      <c r="C9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9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9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98" spans="1:5">
      <c r="A98" s="5">
        <v>45023</v>
      </c>
      <c r="B98" s="3">
        <f>MONTH(Shifts[[#This Row],[Date]])</f>
        <v>4</v>
      </c>
      <c r="C9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9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9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99" spans="1:5">
      <c r="A99" s="5">
        <v>45024</v>
      </c>
      <c r="B99" s="3">
        <f>MONTH(Shifts[[#This Row],[Date]])</f>
        <v>4</v>
      </c>
      <c r="C9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9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9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00" spans="1:5">
      <c r="A100" s="5">
        <v>45025</v>
      </c>
      <c r="B100" s="3">
        <f>MONTH(Shifts[[#This Row],[Date]])</f>
        <v>4</v>
      </c>
      <c r="C10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0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0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01" spans="1:5">
      <c r="A101" s="5">
        <v>45026</v>
      </c>
      <c r="B101" s="3">
        <f>MONTH(Shifts[[#This Row],[Date]])</f>
        <v>4</v>
      </c>
      <c r="C10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10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0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02" spans="1:5">
      <c r="A102" s="5">
        <v>45027</v>
      </c>
      <c r="B102" s="3">
        <f>MONTH(Shifts[[#This Row],[Date]])</f>
        <v>4</v>
      </c>
      <c r="C10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0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0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03" spans="1:5">
      <c r="A103" s="5">
        <v>45028</v>
      </c>
      <c r="B103" s="3">
        <f>MONTH(Shifts[[#This Row],[Date]])</f>
        <v>4</v>
      </c>
      <c r="C10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10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0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04" spans="1:5">
      <c r="A104" s="5">
        <v>45029</v>
      </c>
      <c r="B104" s="3">
        <f>MONTH(Shifts[[#This Row],[Date]])</f>
        <v>4</v>
      </c>
      <c r="C10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0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0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05" spans="1:5">
      <c r="A105" s="5">
        <v>45030</v>
      </c>
      <c r="B105" s="3">
        <f>MONTH(Shifts[[#This Row],[Date]])</f>
        <v>4</v>
      </c>
      <c r="C10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2</v>
      </c>
      <c r="D10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0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06" spans="1:5">
      <c r="A106" s="5">
        <v>45031</v>
      </c>
      <c r="B106" s="3">
        <f>MONTH(Shifts[[#This Row],[Date]])</f>
        <v>4</v>
      </c>
      <c r="C10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0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0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07" spans="1:5">
      <c r="A107" s="5">
        <v>45032</v>
      </c>
      <c r="B107" s="3">
        <f>MONTH(Shifts[[#This Row],[Date]])</f>
        <v>4</v>
      </c>
      <c r="C10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10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10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08" spans="1:5">
      <c r="A108" s="5">
        <v>45033</v>
      </c>
      <c r="B108" s="3">
        <f>MONTH(Shifts[[#This Row],[Date]])</f>
        <v>4</v>
      </c>
      <c r="C10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0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0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09" spans="1:5">
      <c r="A109" s="5">
        <v>45034</v>
      </c>
      <c r="B109" s="3">
        <f>MONTH(Shifts[[#This Row],[Date]])</f>
        <v>4</v>
      </c>
      <c r="C10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1</v>
      </c>
      <c r="D10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0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10" spans="1:5">
      <c r="A110" s="5">
        <v>45035</v>
      </c>
      <c r="B110" s="3">
        <f>MONTH(Shifts[[#This Row],[Date]])</f>
        <v>4</v>
      </c>
      <c r="C11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1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1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11" spans="1:5">
      <c r="A111" s="5">
        <v>45036</v>
      </c>
      <c r="B111" s="3">
        <f>MONTH(Shifts[[#This Row],[Date]])</f>
        <v>4</v>
      </c>
      <c r="C11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1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1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12" spans="1:5">
      <c r="A112" s="5">
        <v>45037</v>
      </c>
      <c r="B112" s="3">
        <f>MONTH(Shifts[[#This Row],[Date]])</f>
        <v>4</v>
      </c>
      <c r="C11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1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1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13" spans="1:5">
      <c r="A113" s="5">
        <v>45038</v>
      </c>
      <c r="B113" s="3">
        <f>MONTH(Shifts[[#This Row],[Date]])</f>
        <v>4</v>
      </c>
      <c r="C11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1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1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14" spans="1:5">
      <c r="A114" s="5">
        <v>45039</v>
      </c>
      <c r="B114" s="3">
        <f>MONTH(Shifts[[#This Row],[Date]])</f>
        <v>4</v>
      </c>
      <c r="C11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1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1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15" spans="1:5">
      <c r="A115" s="5">
        <v>45040</v>
      </c>
      <c r="B115" s="3">
        <f>MONTH(Shifts[[#This Row],[Date]])</f>
        <v>4</v>
      </c>
      <c r="C11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1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1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16" spans="1:5">
      <c r="A116" s="5">
        <v>45041</v>
      </c>
      <c r="B116" s="3">
        <f>MONTH(Shifts[[#This Row],[Date]])</f>
        <v>4</v>
      </c>
      <c r="C11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1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1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17" spans="1:5">
      <c r="A117" s="5">
        <v>45042</v>
      </c>
      <c r="B117" s="3">
        <f>MONTH(Shifts[[#This Row],[Date]])</f>
        <v>4</v>
      </c>
      <c r="C11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1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11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18" spans="1:5">
      <c r="A118" s="5">
        <v>45043</v>
      </c>
      <c r="B118" s="3">
        <f>MONTH(Shifts[[#This Row],[Date]])</f>
        <v>4</v>
      </c>
      <c r="C11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1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1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19" spans="1:5">
      <c r="A119" s="5">
        <v>45044</v>
      </c>
      <c r="B119" s="3">
        <f>MONTH(Shifts[[#This Row],[Date]])</f>
        <v>4</v>
      </c>
      <c r="C11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1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1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20" spans="1:5">
      <c r="A120" s="5">
        <v>45045</v>
      </c>
      <c r="B120" s="3">
        <f>MONTH(Shifts[[#This Row],[Date]])</f>
        <v>4</v>
      </c>
      <c r="C12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2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2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21" spans="1:5">
      <c r="A121" s="5">
        <v>45046</v>
      </c>
      <c r="B121" s="3">
        <f>MONTH(Shifts[[#This Row],[Date]])</f>
        <v>4</v>
      </c>
      <c r="C12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2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2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22" spans="1:5">
      <c r="A122" s="5">
        <v>45047</v>
      </c>
      <c r="B122" s="3">
        <f>MONTH(Shifts[[#This Row],[Date]])</f>
        <v>5</v>
      </c>
      <c r="C12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2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2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23" spans="1:5">
      <c r="A123" s="5">
        <v>45048</v>
      </c>
      <c r="B123" s="3">
        <f>MONTH(Shifts[[#This Row],[Date]])</f>
        <v>5</v>
      </c>
      <c r="C12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2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2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24" spans="1:5">
      <c r="A124" s="5">
        <v>45049</v>
      </c>
      <c r="B124" s="3">
        <f>MONTH(Shifts[[#This Row],[Date]])</f>
        <v>5</v>
      </c>
      <c r="C12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2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2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25" spans="1:5">
      <c r="A125" s="5">
        <v>45050</v>
      </c>
      <c r="B125" s="3">
        <f>MONTH(Shifts[[#This Row],[Date]])</f>
        <v>5</v>
      </c>
      <c r="C12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2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12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26" spans="1:5">
      <c r="A126" s="5">
        <v>45051</v>
      </c>
      <c r="B126" s="3">
        <f>MONTH(Shifts[[#This Row],[Date]])</f>
        <v>5</v>
      </c>
      <c r="C12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2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2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27" spans="1:5">
      <c r="A127" s="5">
        <v>45052</v>
      </c>
      <c r="B127" s="3">
        <f>MONTH(Shifts[[#This Row],[Date]])</f>
        <v>5</v>
      </c>
      <c r="C12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2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2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28" spans="1:5">
      <c r="A128" s="5">
        <v>45053</v>
      </c>
      <c r="B128" s="3">
        <f>MONTH(Shifts[[#This Row],[Date]])</f>
        <v>5</v>
      </c>
      <c r="C12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2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2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29" spans="1:5">
      <c r="A129" s="5">
        <v>45054</v>
      </c>
      <c r="B129" s="3">
        <f>MONTH(Shifts[[#This Row],[Date]])</f>
        <v>5</v>
      </c>
      <c r="C12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2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2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30" spans="1:5">
      <c r="A130" s="5">
        <v>45055</v>
      </c>
      <c r="B130" s="3">
        <f>MONTH(Shifts[[#This Row],[Date]])</f>
        <v>5</v>
      </c>
      <c r="C13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3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3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31" spans="1:5">
      <c r="A131" s="5">
        <v>45056</v>
      </c>
      <c r="B131" s="3">
        <f>MONTH(Shifts[[#This Row],[Date]])</f>
        <v>5</v>
      </c>
      <c r="C13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3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3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32" spans="1:5">
      <c r="A132" s="5">
        <v>45057</v>
      </c>
      <c r="B132" s="3">
        <f>MONTH(Shifts[[#This Row],[Date]])</f>
        <v>5</v>
      </c>
      <c r="C13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3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3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33" spans="1:5">
      <c r="A133" s="5">
        <v>45058</v>
      </c>
      <c r="B133" s="3">
        <f>MONTH(Shifts[[#This Row],[Date]])</f>
        <v>5</v>
      </c>
      <c r="C13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3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3</v>
      </c>
      <c r="E13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3</v>
      </c>
    </row>
    <row r="134" spans="1:5">
      <c r="A134" s="5">
        <v>45059</v>
      </c>
      <c r="B134" s="3">
        <f>MONTH(Shifts[[#This Row],[Date]])</f>
        <v>5</v>
      </c>
      <c r="C13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3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3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35" spans="1:5">
      <c r="A135" s="5">
        <v>45060</v>
      </c>
      <c r="B135" s="3">
        <f>MONTH(Shifts[[#This Row],[Date]])</f>
        <v>5</v>
      </c>
      <c r="C13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3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2</v>
      </c>
      <c r="E13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2</v>
      </c>
    </row>
    <row r="136" spans="1:5">
      <c r="A136" s="5">
        <v>45061</v>
      </c>
      <c r="B136" s="3">
        <f>MONTH(Shifts[[#This Row],[Date]])</f>
        <v>5</v>
      </c>
      <c r="C13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3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3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37" spans="1:5">
      <c r="A137" s="5">
        <v>45062</v>
      </c>
      <c r="B137" s="3">
        <f>MONTH(Shifts[[#This Row],[Date]])</f>
        <v>5</v>
      </c>
      <c r="C13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3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3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38" spans="1:5">
      <c r="A138" s="5">
        <v>45063</v>
      </c>
      <c r="B138" s="3">
        <f>MONTH(Shifts[[#This Row],[Date]])</f>
        <v>5</v>
      </c>
      <c r="C13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3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3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39" spans="1:5">
      <c r="A139" s="5">
        <v>45064</v>
      </c>
      <c r="B139" s="3">
        <f>MONTH(Shifts[[#This Row],[Date]])</f>
        <v>5</v>
      </c>
      <c r="C13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3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3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40" spans="1:5">
      <c r="A140" s="5">
        <v>45065</v>
      </c>
      <c r="B140" s="3">
        <f>MONTH(Shifts[[#This Row],[Date]])</f>
        <v>5</v>
      </c>
      <c r="C14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4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4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41" spans="1:5">
      <c r="A141" s="5">
        <v>45066</v>
      </c>
      <c r="B141" s="3">
        <f>MONTH(Shifts[[#This Row],[Date]])</f>
        <v>5</v>
      </c>
      <c r="C14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4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4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42" spans="1:5">
      <c r="A142" s="5">
        <v>45067</v>
      </c>
      <c r="B142" s="3">
        <f>MONTH(Shifts[[#This Row],[Date]])</f>
        <v>5</v>
      </c>
      <c r="C14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4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4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43" spans="1:5">
      <c r="A143" s="5">
        <v>45068</v>
      </c>
      <c r="B143" s="3">
        <f>MONTH(Shifts[[#This Row],[Date]])</f>
        <v>5</v>
      </c>
      <c r="C14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4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4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44" spans="1:5">
      <c r="A144" s="5">
        <v>45069</v>
      </c>
      <c r="B144" s="3">
        <f>MONTH(Shifts[[#This Row],[Date]])</f>
        <v>5</v>
      </c>
      <c r="C14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4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4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45" spans="1:5">
      <c r="A145" s="5">
        <v>45070</v>
      </c>
      <c r="B145" s="3">
        <f>MONTH(Shifts[[#This Row],[Date]])</f>
        <v>5</v>
      </c>
      <c r="C14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4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4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46" spans="1:5">
      <c r="A146" s="5">
        <v>45071</v>
      </c>
      <c r="B146" s="3">
        <f>MONTH(Shifts[[#This Row],[Date]])</f>
        <v>5</v>
      </c>
      <c r="C14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4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4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47" spans="1:5">
      <c r="A147" s="5">
        <v>45072</v>
      </c>
      <c r="B147" s="3">
        <f>MONTH(Shifts[[#This Row],[Date]])</f>
        <v>5</v>
      </c>
      <c r="C14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4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4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48" spans="1:5">
      <c r="A148" s="5">
        <v>45073</v>
      </c>
      <c r="B148" s="3">
        <f>MONTH(Shifts[[#This Row],[Date]])</f>
        <v>5</v>
      </c>
      <c r="C14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4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4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49" spans="1:5">
      <c r="A149" s="5">
        <v>45074</v>
      </c>
      <c r="B149" s="3">
        <f>MONTH(Shifts[[#This Row],[Date]])</f>
        <v>5</v>
      </c>
      <c r="C14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4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4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50" spans="1:5">
      <c r="A150" s="5">
        <v>45075</v>
      </c>
      <c r="B150" s="3">
        <f>MONTH(Shifts[[#This Row],[Date]])</f>
        <v>5</v>
      </c>
      <c r="C15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5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5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51" spans="1:5">
      <c r="A151" s="5">
        <v>45076</v>
      </c>
      <c r="B151" s="3">
        <f>MONTH(Shifts[[#This Row],[Date]])</f>
        <v>5</v>
      </c>
      <c r="C15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5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5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52" spans="1:5">
      <c r="A152" s="5">
        <v>45077</v>
      </c>
      <c r="B152" s="3">
        <f>MONTH(Shifts[[#This Row],[Date]])</f>
        <v>5</v>
      </c>
      <c r="C15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5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5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53" spans="1:5">
      <c r="A153" s="5">
        <v>45078</v>
      </c>
      <c r="B153" s="3">
        <f>MONTH(Shifts[[#This Row],[Date]])</f>
        <v>6</v>
      </c>
      <c r="C15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5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5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54" spans="1:5">
      <c r="A154" s="5">
        <v>45079</v>
      </c>
      <c r="B154" s="3">
        <f>MONTH(Shifts[[#This Row],[Date]])</f>
        <v>6</v>
      </c>
      <c r="C15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5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5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55" spans="1:5">
      <c r="A155" s="5">
        <v>45080</v>
      </c>
      <c r="B155" s="3">
        <f>MONTH(Shifts[[#This Row],[Date]])</f>
        <v>6</v>
      </c>
      <c r="C15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5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5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56" spans="1:5">
      <c r="A156" s="5">
        <v>45081</v>
      </c>
      <c r="B156" s="3">
        <f>MONTH(Shifts[[#This Row],[Date]])</f>
        <v>6</v>
      </c>
      <c r="C15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5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5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57" spans="1:5">
      <c r="A157" s="5">
        <v>45082</v>
      </c>
      <c r="B157" s="3">
        <f>MONTH(Shifts[[#This Row],[Date]])</f>
        <v>6</v>
      </c>
      <c r="C15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5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5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58" spans="1:5">
      <c r="A158" s="5">
        <v>45083</v>
      </c>
      <c r="B158" s="3">
        <f>MONTH(Shifts[[#This Row],[Date]])</f>
        <v>6</v>
      </c>
      <c r="C15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5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5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59" spans="1:5">
      <c r="A159" s="5">
        <v>45084</v>
      </c>
      <c r="B159" s="3">
        <f>MONTH(Shifts[[#This Row],[Date]])</f>
        <v>6</v>
      </c>
      <c r="C15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5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5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60" spans="1:5">
      <c r="A160" s="5">
        <v>45085</v>
      </c>
      <c r="B160" s="3">
        <f>MONTH(Shifts[[#This Row],[Date]])</f>
        <v>6</v>
      </c>
      <c r="C16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6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6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61" spans="1:5">
      <c r="A161" s="5">
        <v>45086</v>
      </c>
      <c r="B161" s="3">
        <f>MONTH(Shifts[[#This Row],[Date]])</f>
        <v>6</v>
      </c>
      <c r="C16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6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6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62" spans="1:5">
      <c r="A162" s="5">
        <v>45087</v>
      </c>
      <c r="B162" s="3">
        <f>MONTH(Shifts[[#This Row],[Date]])</f>
        <v>6</v>
      </c>
      <c r="C16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6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6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63" spans="1:5">
      <c r="A163" s="5">
        <v>45088</v>
      </c>
      <c r="B163" s="3">
        <f>MONTH(Shifts[[#This Row],[Date]])</f>
        <v>6</v>
      </c>
      <c r="C16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6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6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64" spans="1:5">
      <c r="A164" s="5">
        <v>45089</v>
      </c>
      <c r="B164" s="3">
        <f>MONTH(Shifts[[#This Row],[Date]])</f>
        <v>6</v>
      </c>
      <c r="C16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6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6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65" spans="1:5">
      <c r="A165" s="5">
        <v>45090</v>
      </c>
      <c r="B165" s="3">
        <f>MONTH(Shifts[[#This Row],[Date]])</f>
        <v>6</v>
      </c>
      <c r="C16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6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6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66" spans="1:5">
      <c r="A166" s="5">
        <v>45091</v>
      </c>
      <c r="B166" s="3">
        <f>MONTH(Shifts[[#This Row],[Date]])</f>
        <v>6</v>
      </c>
      <c r="C16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6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6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67" spans="1:5">
      <c r="A167" s="5">
        <v>45092</v>
      </c>
      <c r="B167" s="3">
        <f>MONTH(Shifts[[#This Row],[Date]])</f>
        <v>6</v>
      </c>
      <c r="C16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6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6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68" spans="1:5">
      <c r="A168" s="5">
        <v>45093</v>
      </c>
      <c r="B168" s="3">
        <f>MONTH(Shifts[[#This Row],[Date]])</f>
        <v>6</v>
      </c>
      <c r="C16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6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6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69" spans="1:5">
      <c r="A169" s="5">
        <v>45094</v>
      </c>
      <c r="B169" s="3">
        <f>MONTH(Shifts[[#This Row],[Date]])</f>
        <v>6</v>
      </c>
      <c r="C16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6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6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70" spans="1:5">
      <c r="A170" s="5">
        <v>45095</v>
      </c>
      <c r="B170" s="3">
        <f>MONTH(Shifts[[#This Row],[Date]])</f>
        <v>6</v>
      </c>
      <c r="C17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7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7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71" spans="1:5">
      <c r="A171" s="5">
        <v>45096</v>
      </c>
      <c r="B171" s="3">
        <f>MONTH(Shifts[[#This Row],[Date]])</f>
        <v>6</v>
      </c>
      <c r="C17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7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7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72" spans="1:5">
      <c r="A172" s="5">
        <v>45097</v>
      </c>
      <c r="B172" s="3">
        <f>MONTH(Shifts[[#This Row],[Date]])</f>
        <v>6</v>
      </c>
      <c r="C17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7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7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73" spans="1:5">
      <c r="A173" s="5">
        <v>45098</v>
      </c>
      <c r="B173" s="3">
        <f>MONTH(Shifts[[#This Row],[Date]])</f>
        <v>6</v>
      </c>
      <c r="C17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7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7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74" spans="1:5">
      <c r="A174" s="5">
        <v>45099</v>
      </c>
      <c r="B174" s="3">
        <f>MONTH(Shifts[[#This Row],[Date]])</f>
        <v>6</v>
      </c>
      <c r="C17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7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7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75" spans="1:5">
      <c r="A175" s="5">
        <v>45100</v>
      </c>
      <c r="B175" s="3">
        <f>MONTH(Shifts[[#This Row],[Date]])</f>
        <v>6</v>
      </c>
      <c r="C17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7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7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76" spans="1:5">
      <c r="A176" s="5">
        <v>45101</v>
      </c>
      <c r="B176" s="3">
        <f>MONTH(Shifts[[#This Row],[Date]])</f>
        <v>6</v>
      </c>
      <c r="C17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7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7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77" spans="1:5">
      <c r="A177" s="5">
        <v>45102</v>
      </c>
      <c r="B177" s="3">
        <f>MONTH(Shifts[[#This Row],[Date]])</f>
        <v>6</v>
      </c>
      <c r="C17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7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7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78" spans="1:5">
      <c r="A178" s="5">
        <v>45103</v>
      </c>
      <c r="B178" s="3">
        <f>MONTH(Shifts[[#This Row],[Date]])</f>
        <v>6</v>
      </c>
      <c r="C17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7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7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79" spans="1:5">
      <c r="A179" s="5">
        <v>45104</v>
      </c>
      <c r="B179" s="3">
        <f>MONTH(Shifts[[#This Row],[Date]])</f>
        <v>6</v>
      </c>
      <c r="C17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7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7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80" spans="1:5">
      <c r="A180" s="5">
        <v>45105</v>
      </c>
      <c r="B180" s="3">
        <f>MONTH(Shifts[[#This Row],[Date]])</f>
        <v>6</v>
      </c>
      <c r="C18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8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8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81" spans="1:5">
      <c r="A181" s="5">
        <v>45106</v>
      </c>
      <c r="B181" s="3">
        <f>MONTH(Shifts[[#This Row],[Date]])</f>
        <v>6</v>
      </c>
      <c r="C18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8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8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82" spans="1:5">
      <c r="A182" s="5">
        <v>45107</v>
      </c>
      <c r="B182" s="3">
        <f>MONTH(Shifts[[#This Row],[Date]])</f>
        <v>6</v>
      </c>
      <c r="C18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8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8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83" spans="1:5">
      <c r="A183" s="5">
        <v>45108</v>
      </c>
      <c r="B183" s="3">
        <f>MONTH(Shifts[[#This Row],[Date]])</f>
        <v>7</v>
      </c>
      <c r="C18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8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8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84" spans="1:5">
      <c r="A184" s="5">
        <v>45109</v>
      </c>
      <c r="B184" s="3">
        <f>MONTH(Shifts[[#This Row],[Date]])</f>
        <v>7</v>
      </c>
      <c r="C18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8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8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85" spans="1:5">
      <c r="A185" s="5">
        <v>45110</v>
      </c>
      <c r="B185" s="3">
        <f>MONTH(Shifts[[#This Row],[Date]])</f>
        <v>7</v>
      </c>
      <c r="C18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8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8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86" spans="1:5">
      <c r="A186" s="5">
        <v>45111</v>
      </c>
      <c r="B186" s="3">
        <f>MONTH(Shifts[[#This Row],[Date]])</f>
        <v>7</v>
      </c>
      <c r="C18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8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8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87" spans="1:5">
      <c r="A187" s="5">
        <v>45112</v>
      </c>
      <c r="B187" s="3">
        <f>MONTH(Shifts[[#This Row],[Date]])</f>
        <v>7</v>
      </c>
      <c r="C18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8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8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88" spans="1:5">
      <c r="A188" s="5">
        <v>45113</v>
      </c>
      <c r="B188" s="3">
        <f>MONTH(Shifts[[#This Row],[Date]])</f>
        <v>7</v>
      </c>
      <c r="C18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8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8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89" spans="1:5">
      <c r="A189" s="5">
        <v>45114</v>
      </c>
      <c r="B189" s="3">
        <f>MONTH(Shifts[[#This Row],[Date]])</f>
        <v>7</v>
      </c>
      <c r="C18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8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8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90" spans="1:5">
      <c r="A190" s="5">
        <v>45115</v>
      </c>
      <c r="B190" s="3">
        <f>MONTH(Shifts[[#This Row],[Date]])</f>
        <v>7</v>
      </c>
      <c r="C19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9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9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91" spans="1:5">
      <c r="A191" s="5">
        <v>45116</v>
      </c>
      <c r="B191" s="3">
        <f>MONTH(Shifts[[#This Row],[Date]])</f>
        <v>7</v>
      </c>
      <c r="C19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9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9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92" spans="1:5">
      <c r="A192" s="5">
        <v>45117</v>
      </c>
      <c r="B192" s="3">
        <f>MONTH(Shifts[[#This Row],[Date]])</f>
        <v>7</v>
      </c>
      <c r="C19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9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9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93" spans="1:5">
      <c r="A193" s="5">
        <v>45118</v>
      </c>
      <c r="B193" s="3">
        <f>MONTH(Shifts[[#This Row],[Date]])</f>
        <v>7</v>
      </c>
      <c r="C19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9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9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94" spans="1:5">
      <c r="A194" s="5">
        <v>45119</v>
      </c>
      <c r="B194" s="3">
        <f>MONTH(Shifts[[#This Row],[Date]])</f>
        <v>7</v>
      </c>
      <c r="C19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9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9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95" spans="1:5">
      <c r="A195" s="5">
        <v>45120</v>
      </c>
      <c r="B195" s="3">
        <f>MONTH(Shifts[[#This Row],[Date]])</f>
        <v>7</v>
      </c>
      <c r="C19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9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9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96" spans="1:5">
      <c r="A196" s="5">
        <v>45121</v>
      </c>
      <c r="B196" s="3">
        <f>MONTH(Shifts[[#This Row],[Date]])</f>
        <v>7</v>
      </c>
      <c r="C19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9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9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97" spans="1:5">
      <c r="A197" s="5">
        <v>45122</v>
      </c>
      <c r="B197" s="3">
        <f>MONTH(Shifts[[#This Row],[Date]])</f>
        <v>7</v>
      </c>
      <c r="C19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9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9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98" spans="1:5">
      <c r="A198" s="5">
        <v>45123</v>
      </c>
      <c r="B198" s="3">
        <f>MONTH(Shifts[[#This Row],[Date]])</f>
        <v>7</v>
      </c>
      <c r="C19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9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9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199" spans="1:5">
      <c r="A199" s="5">
        <v>45124</v>
      </c>
      <c r="B199" s="3">
        <f>MONTH(Shifts[[#This Row],[Date]])</f>
        <v>7</v>
      </c>
      <c r="C19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19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19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00" spans="1:5">
      <c r="A200" s="5">
        <v>45125</v>
      </c>
      <c r="B200" s="3">
        <f>MONTH(Shifts[[#This Row],[Date]])</f>
        <v>7</v>
      </c>
      <c r="C20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0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0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01" spans="1:5">
      <c r="A201" s="5">
        <v>45126</v>
      </c>
      <c r="B201" s="3">
        <f>MONTH(Shifts[[#This Row],[Date]])</f>
        <v>7</v>
      </c>
      <c r="C20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0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0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02" spans="1:5">
      <c r="A202" s="5">
        <v>45127</v>
      </c>
      <c r="B202" s="3">
        <f>MONTH(Shifts[[#This Row],[Date]])</f>
        <v>7</v>
      </c>
      <c r="C20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0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0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03" spans="1:5">
      <c r="A203" s="5">
        <v>45128</v>
      </c>
      <c r="B203" s="3">
        <f>MONTH(Shifts[[#This Row],[Date]])</f>
        <v>7</v>
      </c>
      <c r="C20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0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0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04" spans="1:5">
      <c r="A204" s="5">
        <v>45129</v>
      </c>
      <c r="B204" s="3">
        <f>MONTH(Shifts[[#This Row],[Date]])</f>
        <v>7</v>
      </c>
      <c r="C20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0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0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05" spans="1:5">
      <c r="A205" s="5">
        <v>45130</v>
      </c>
      <c r="B205" s="3">
        <f>MONTH(Shifts[[#This Row],[Date]])</f>
        <v>7</v>
      </c>
      <c r="C20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0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0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06" spans="1:5">
      <c r="A206" s="5">
        <v>45131</v>
      </c>
      <c r="B206" s="3">
        <f>MONTH(Shifts[[#This Row],[Date]])</f>
        <v>7</v>
      </c>
      <c r="C20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0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0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07" spans="1:5">
      <c r="A207" s="5">
        <v>45132</v>
      </c>
      <c r="B207" s="3">
        <f>MONTH(Shifts[[#This Row],[Date]])</f>
        <v>7</v>
      </c>
      <c r="C20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0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0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08" spans="1:5">
      <c r="A208" s="5">
        <v>45133</v>
      </c>
      <c r="B208" s="3">
        <f>MONTH(Shifts[[#This Row],[Date]])</f>
        <v>7</v>
      </c>
      <c r="C20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0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0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09" spans="1:5">
      <c r="A209" s="5">
        <v>45134</v>
      </c>
      <c r="B209" s="3">
        <f>MONTH(Shifts[[#This Row],[Date]])</f>
        <v>7</v>
      </c>
      <c r="C20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0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0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10" spans="1:5">
      <c r="A210" s="5">
        <v>45135</v>
      </c>
      <c r="B210" s="3">
        <f>MONTH(Shifts[[#This Row],[Date]])</f>
        <v>7</v>
      </c>
      <c r="C21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1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1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11" spans="1:5">
      <c r="A211" s="5">
        <v>45136</v>
      </c>
      <c r="B211" s="3">
        <f>MONTH(Shifts[[#This Row],[Date]])</f>
        <v>7</v>
      </c>
      <c r="C21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1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1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12" spans="1:5">
      <c r="A212" s="5">
        <v>45137</v>
      </c>
      <c r="B212" s="3">
        <f>MONTH(Shifts[[#This Row],[Date]])</f>
        <v>7</v>
      </c>
      <c r="C21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1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1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13" spans="1:5">
      <c r="A213" s="5">
        <v>45138</v>
      </c>
      <c r="B213" s="3">
        <f>MONTH(Shifts[[#This Row],[Date]])</f>
        <v>7</v>
      </c>
      <c r="C21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1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1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14" spans="1:5">
      <c r="A214" s="5">
        <v>45139</v>
      </c>
      <c r="B214" s="3">
        <f>MONTH(Shifts[[#This Row],[Date]])</f>
        <v>8</v>
      </c>
      <c r="C21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1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1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15" spans="1:5">
      <c r="A215" s="5">
        <v>45140</v>
      </c>
      <c r="B215" s="3">
        <f>MONTH(Shifts[[#This Row],[Date]])</f>
        <v>8</v>
      </c>
      <c r="C21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1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1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16" spans="1:5">
      <c r="A216" s="5">
        <v>45141</v>
      </c>
      <c r="B216" s="3">
        <f>MONTH(Shifts[[#This Row],[Date]])</f>
        <v>8</v>
      </c>
      <c r="C21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1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1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17" spans="1:5">
      <c r="A217" s="5">
        <v>45142</v>
      </c>
      <c r="B217" s="3">
        <f>MONTH(Shifts[[#This Row],[Date]])</f>
        <v>8</v>
      </c>
      <c r="C21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1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1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18" spans="1:5">
      <c r="A218" s="5">
        <v>45143</v>
      </c>
      <c r="B218" s="3">
        <f>MONTH(Shifts[[#This Row],[Date]])</f>
        <v>8</v>
      </c>
      <c r="C21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1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1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19" spans="1:5">
      <c r="A219" s="5">
        <v>45144</v>
      </c>
      <c r="B219" s="3">
        <f>MONTH(Shifts[[#This Row],[Date]])</f>
        <v>8</v>
      </c>
      <c r="C21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1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1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20" spans="1:5">
      <c r="A220" s="5">
        <v>45145</v>
      </c>
      <c r="B220" s="3">
        <f>MONTH(Shifts[[#This Row],[Date]])</f>
        <v>8</v>
      </c>
      <c r="C22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2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2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21" spans="1:5">
      <c r="A221" s="5">
        <v>45146</v>
      </c>
      <c r="B221" s="3">
        <f>MONTH(Shifts[[#This Row],[Date]])</f>
        <v>8</v>
      </c>
      <c r="C22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2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2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22" spans="1:5">
      <c r="A222" s="5">
        <v>45147</v>
      </c>
      <c r="B222" s="3">
        <f>MONTH(Shifts[[#This Row],[Date]])</f>
        <v>8</v>
      </c>
      <c r="C22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2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2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23" spans="1:5">
      <c r="A223" s="5">
        <v>45148</v>
      </c>
      <c r="B223" s="3">
        <f>MONTH(Shifts[[#This Row],[Date]])</f>
        <v>8</v>
      </c>
      <c r="C22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2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2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24" spans="1:5">
      <c r="A224" s="5">
        <v>45149</v>
      </c>
      <c r="B224" s="3">
        <f>MONTH(Shifts[[#This Row],[Date]])</f>
        <v>8</v>
      </c>
      <c r="C22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2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2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25" spans="1:5">
      <c r="A225" s="5">
        <v>45150</v>
      </c>
      <c r="B225" s="3">
        <f>MONTH(Shifts[[#This Row],[Date]])</f>
        <v>8</v>
      </c>
      <c r="C22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2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2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26" spans="1:5">
      <c r="A226" s="5">
        <v>45151</v>
      </c>
      <c r="B226" s="3">
        <f>MONTH(Shifts[[#This Row],[Date]])</f>
        <v>8</v>
      </c>
      <c r="C22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2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2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27" spans="1:5">
      <c r="A227" s="5">
        <v>45152</v>
      </c>
      <c r="B227" s="3">
        <f>MONTH(Shifts[[#This Row],[Date]])</f>
        <v>8</v>
      </c>
      <c r="C22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2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2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28" spans="1:5">
      <c r="A228" s="5">
        <v>45153</v>
      </c>
      <c r="B228" s="3">
        <f>MONTH(Shifts[[#This Row],[Date]])</f>
        <v>8</v>
      </c>
      <c r="C22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2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2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29" spans="1:5">
      <c r="A229" s="5">
        <v>45154</v>
      </c>
      <c r="B229" s="3">
        <f>MONTH(Shifts[[#This Row],[Date]])</f>
        <v>8</v>
      </c>
      <c r="C22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2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2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30" spans="1:5">
      <c r="A230" s="5">
        <v>45155</v>
      </c>
      <c r="B230" s="3">
        <f>MONTH(Shifts[[#This Row],[Date]])</f>
        <v>8</v>
      </c>
      <c r="C23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3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3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31" spans="1:5">
      <c r="A231" s="5">
        <v>45156</v>
      </c>
      <c r="B231" s="3">
        <f>MONTH(Shifts[[#This Row],[Date]])</f>
        <v>8</v>
      </c>
      <c r="C23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3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3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32" spans="1:5">
      <c r="A232" s="5">
        <v>45157</v>
      </c>
      <c r="B232" s="3">
        <f>MONTH(Shifts[[#This Row],[Date]])</f>
        <v>8</v>
      </c>
      <c r="C23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3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3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33" spans="1:5">
      <c r="A233" s="5">
        <v>45158</v>
      </c>
      <c r="B233" s="3">
        <f>MONTH(Shifts[[#This Row],[Date]])</f>
        <v>8</v>
      </c>
      <c r="C23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3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3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34" spans="1:5">
      <c r="A234" s="5">
        <v>45159</v>
      </c>
      <c r="B234" s="3">
        <f>MONTH(Shifts[[#This Row],[Date]])</f>
        <v>8</v>
      </c>
      <c r="C23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3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3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35" spans="1:5">
      <c r="A235" s="5">
        <v>45160</v>
      </c>
      <c r="B235" s="3">
        <f>MONTH(Shifts[[#This Row],[Date]])</f>
        <v>8</v>
      </c>
      <c r="C23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3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3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36" spans="1:5">
      <c r="A236" s="5">
        <v>45161</v>
      </c>
      <c r="B236" s="3">
        <f>MONTH(Shifts[[#This Row],[Date]])</f>
        <v>8</v>
      </c>
      <c r="C23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3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3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37" spans="1:5">
      <c r="A237" s="5">
        <v>45162</v>
      </c>
      <c r="B237" s="3">
        <f>MONTH(Shifts[[#This Row],[Date]])</f>
        <v>8</v>
      </c>
      <c r="C23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3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3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38" spans="1:5">
      <c r="A238" s="5">
        <v>45163</v>
      </c>
      <c r="B238" s="3">
        <f>MONTH(Shifts[[#This Row],[Date]])</f>
        <v>8</v>
      </c>
      <c r="C23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3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3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39" spans="1:5">
      <c r="A239" s="5">
        <v>45164</v>
      </c>
      <c r="B239" s="3">
        <f>MONTH(Shifts[[#This Row],[Date]])</f>
        <v>8</v>
      </c>
      <c r="C23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3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3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40" spans="1:5">
      <c r="A240" s="5">
        <v>45165</v>
      </c>
      <c r="B240" s="3">
        <f>MONTH(Shifts[[#This Row],[Date]])</f>
        <v>8</v>
      </c>
      <c r="C24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4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4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41" spans="1:5">
      <c r="A241" s="5">
        <v>45166</v>
      </c>
      <c r="B241" s="3">
        <f>MONTH(Shifts[[#This Row],[Date]])</f>
        <v>8</v>
      </c>
      <c r="C24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4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4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42" spans="1:5">
      <c r="A242" s="5">
        <v>45167</v>
      </c>
      <c r="B242" s="3">
        <f>MONTH(Shifts[[#This Row],[Date]])</f>
        <v>8</v>
      </c>
      <c r="C24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4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4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43" spans="1:5">
      <c r="A243" s="5">
        <v>45168</v>
      </c>
      <c r="B243" s="3">
        <f>MONTH(Shifts[[#This Row],[Date]])</f>
        <v>8</v>
      </c>
      <c r="C24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4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4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44" spans="1:5">
      <c r="A244" s="5">
        <v>45169</v>
      </c>
      <c r="B244" s="3">
        <f>MONTH(Shifts[[#This Row],[Date]])</f>
        <v>8</v>
      </c>
      <c r="C24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4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4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45" spans="1:5">
      <c r="A245" s="5">
        <v>45170</v>
      </c>
      <c r="B245" s="3">
        <f>MONTH(Shifts[[#This Row],[Date]])</f>
        <v>9</v>
      </c>
      <c r="C24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4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4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46" spans="1:5">
      <c r="A246" s="5">
        <v>45171</v>
      </c>
      <c r="B246" s="3">
        <f>MONTH(Shifts[[#This Row],[Date]])</f>
        <v>9</v>
      </c>
      <c r="C24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4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4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47" spans="1:5">
      <c r="A247" s="5">
        <v>45172</v>
      </c>
      <c r="B247" s="3">
        <f>MONTH(Shifts[[#This Row],[Date]])</f>
        <v>9</v>
      </c>
      <c r="C24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4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4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48" spans="1:5">
      <c r="A248" s="5">
        <v>45173</v>
      </c>
      <c r="B248" s="3">
        <f>MONTH(Shifts[[#This Row],[Date]])</f>
        <v>9</v>
      </c>
      <c r="C24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4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4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49" spans="1:5">
      <c r="A249" s="5">
        <v>45174</v>
      </c>
      <c r="B249" s="3">
        <f>MONTH(Shifts[[#This Row],[Date]])</f>
        <v>9</v>
      </c>
      <c r="C24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4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4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50" spans="1:5">
      <c r="A250" s="5">
        <v>45175</v>
      </c>
      <c r="B250" s="3">
        <f>MONTH(Shifts[[#This Row],[Date]])</f>
        <v>9</v>
      </c>
      <c r="C25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5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5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51" spans="1:5">
      <c r="A251" s="5">
        <v>45176</v>
      </c>
      <c r="B251" s="3">
        <f>MONTH(Shifts[[#This Row],[Date]])</f>
        <v>9</v>
      </c>
      <c r="C25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5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5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52" spans="1:5">
      <c r="A252" s="5">
        <v>45177</v>
      </c>
      <c r="B252" s="3">
        <f>MONTH(Shifts[[#This Row],[Date]])</f>
        <v>9</v>
      </c>
      <c r="C25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5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5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53" spans="1:5">
      <c r="A253" s="5">
        <v>45178</v>
      </c>
      <c r="B253" s="3">
        <f>MONTH(Shifts[[#This Row],[Date]])</f>
        <v>9</v>
      </c>
      <c r="C25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5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5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54" spans="1:5">
      <c r="A254" s="5">
        <v>45179</v>
      </c>
      <c r="B254" s="3">
        <f>MONTH(Shifts[[#This Row],[Date]])</f>
        <v>9</v>
      </c>
      <c r="C25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5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5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55" spans="1:5">
      <c r="A255" s="5">
        <v>45180</v>
      </c>
      <c r="B255" s="3">
        <f>MONTH(Shifts[[#This Row],[Date]])</f>
        <v>9</v>
      </c>
      <c r="C25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5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5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56" spans="1:5">
      <c r="A256" s="5">
        <v>45181</v>
      </c>
      <c r="B256" s="3">
        <f>MONTH(Shifts[[#This Row],[Date]])</f>
        <v>9</v>
      </c>
      <c r="C25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5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5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57" spans="1:5">
      <c r="A257" s="5">
        <v>45182</v>
      </c>
      <c r="B257" s="3">
        <f>MONTH(Shifts[[#This Row],[Date]])</f>
        <v>9</v>
      </c>
      <c r="C25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5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5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58" spans="1:5">
      <c r="A258" s="5">
        <v>45183</v>
      </c>
      <c r="B258" s="3">
        <f>MONTH(Shifts[[#This Row],[Date]])</f>
        <v>9</v>
      </c>
      <c r="C25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5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5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59" spans="1:5">
      <c r="A259" s="5">
        <v>45184</v>
      </c>
      <c r="B259" s="3">
        <f>MONTH(Shifts[[#This Row],[Date]])</f>
        <v>9</v>
      </c>
      <c r="C25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5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5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60" spans="1:5">
      <c r="A260" s="5">
        <v>45185</v>
      </c>
      <c r="B260" s="3">
        <f>MONTH(Shifts[[#This Row],[Date]])</f>
        <v>9</v>
      </c>
      <c r="C26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6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6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61" spans="1:5">
      <c r="A261" s="5">
        <v>45186</v>
      </c>
      <c r="B261" s="3">
        <f>MONTH(Shifts[[#This Row],[Date]])</f>
        <v>9</v>
      </c>
      <c r="C26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6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6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62" spans="1:5">
      <c r="A262" s="5">
        <v>45187</v>
      </c>
      <c r="B262" s="3">
        <f>MONTH(Shifts[[#This Row],[Date]])</f>
        <v>9</v>
      </c>
      <c r="C26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6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6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63" spans="1:5">
      <c r="A263" s="5">
        <v>45188</v>
      </c>
      <c r="B263" s="3">
        <f>MONTH(Shifts[[#This Row],[Date]])</f>
        <v>9</v>
      </c>
      <c r="C26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6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6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64" spans="1:5">
      <c r="A264" s="5">
        <v>45189</v>
      </c>
      <c r="B264" s="3">
        <f>MONTH(Shifts[[#This Row],[Date]])</f>
        <v>9</v>
      </c>
      <c r="C26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6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6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65" spans="1:5">
      <c r="A265" s="5">
        <v>45190</v>
      </c>
      <c r="B265" s="3">
        <f>MONTH(Shifts[[#This Row],[Date]])</f>
        <v>9</v>
      </c>
      <c r="C26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6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6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66" spans="1:5">
      <c r="A266" s="5">
        <v>45191</v>
      </c>
      <c r="B266" s="3">
        <f>MONTH(Shifts[[#This Row],[Date]])</f>
        <v>9</v>
      </c>
      <c r="C26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6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6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67" spans="1:5">
      <c r="A267" s="5">
        <v>45192</v>
      </c>
      <c r="B267" s="3">
        <f>MONTH(Shifts[[#This Row],[Date]])</f>
        <v>9</v>
      </c>
      <c r="C26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6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6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68" spans="1:5">
      <c r="A268" s="5">
        <v>45193</v>
      </c>
      <c r="B268" s="3">
        <f>MONTH(Shifts[[#This Row],[Date]])</f>
        <v>9</v>
      </c>
      <c r="C26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6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6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69" spans="1:5">
      <c r="A269" s="5">
        <v>45194</v>
      </c>
      <c r="B269" s="3">
        <f>MONTH(Shifts[[#This Row],[Date]])</f>
        <v>9</v>
      </c>
      <c r="C26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6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6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70" spans="1:5">
      <c r="A270" s="5">
        <v>45195</v>
      </c>
      <c r="B270" s="3">
        <f>MONTH(Shifts[[#This Row],[Date]])</f>
        <v>9</v>
      </c>
      <c r="C27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7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7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71" spans="1:5">
      <c r="A271" s="5">
        <v>45196</v>
      </c>
      <c r="B271" s="3">
        <f>MONTH(Shifts[[#This Row],[Date]])</f>
        <v>9</v>
      </c>
      <c r="C27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7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7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72" spans="1:5">
      <c r="A272" s="5">
        <v>45197</v>
      </c>
      <c r="B272" s="3">
        <f>MONTH(Shifts[[#This Row],[Date]])</f>
        <v>9</v>
      </c>
      <c r="C27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7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7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73" spans="1:5">
      <c r="A273" s="5">
        <v>45198</v>
      </c>
      <c r="B273" s="3">
        <f>MONTH(Shifts[[#This Row],[Date]])</f>
        <v>9</v>
      </c>
      <c r="C27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7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7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74" spans="1:5">
      <c r="A274" s="5">
        <v>45199</v>
      </c>
      <c r="B274" s="3">
        <f>MONTH(Shifts[[#This Row],[Date]])</f>
        <v>9</v>
      </c>
      <c r="C27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7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7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75" spans="1:5">
      <c r="A275" s="5">
        <v>45200</v>
      </c>
      <c r="B275" s="3">
        <f>MONTH(Shifts[[#This Row],[Date]])</f>
        <v>10</v>
      </c>
      <c r="C27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7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7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76" spans="1:5">
      <c r="A276" s="5">
        <v>45201</v>
      </c>
      <c r="B276" s="3">
        <f>MONTH(Shifts[[#This Row],[Date]])</f>
        <v>10</v>
      </c>
      <c r="C27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7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7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77" spans="1:5">
      <c r="A277" s="5">
        <v>45202</v>
      </c>
      <c r="B277" s="3">
        <f>MONTH(Shifts[[#This Row],[Date]])</f>
        <v>10</v>
      </c>
      <c r="C27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7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7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78" spans="1:5">
      <c r="A278" s="5">
        <v>45203</v>
      </c>
      <c r="B278" s="3">
        <f>MONTH(Shifts[[#This Row],[Date]])</f>
        <v>10</v>
      </c>
      <c r="C27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7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7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79" spans="1:5">
      <c r="A279" s="5">
        <v>45204</v>
      </c>
      <c r="B279" s="3">
        <f>MONTH(Shifts[[#This Row],[Date]])</f>
        <v>10</v>
      </c>
      <c r="C27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7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7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80" spans="1:5">
      <c r="A280" s="5">
        <v>45205</v>
      </c>
      <c r="B280" s="3">
        <f>MONTH(Shifts[[#This Row],[Date]])</f>
        <v>10</v>
      </c>
      <c r="C28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8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8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81" spans="1:5">
      <c r="A281" s="5">
        <v>45206</v>
      </c>
      <c r="B281" s="3">
        <f>MONTH(Shifts[[#This Row],[Date]])</f>
        <v>10</v>
      </c>
      <c r="C28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8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8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82" spans="1:5">
      <c r="A282" s="5">
        <v>45207</v>
      </c>
      <c r="B282" s="3">
        <f>MONTH(Shifts[[#This Row],[Date]])</f>
        <v>10</v>
      </c>
      <c r="C28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8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8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83" spans="1:5">
      <c r="A283" s="5">
        <v>45208</v>
      </c>
      <c r="B283" s="3">
        <f>MONTH(Shifts[[#This Row],[Date]])</f>
        <v>10</v>
      </c>
      <c r="C28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8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8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84" spans="1:5">
      <c r="A284" s="5">
        <v>45209</v>
      </c>
      <c r="B284" s="3">
        <f>MONTH(Shifts[[#This Row],[Date]])</f>
        <v>10</v>
      </c>
      <c r="C28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8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8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85" spans="1:5">
      <c r="A285" s="5">
        <v>45210</v>
      </c>
      <c r="B285" s="3">
        <f>MONTH(Shifts[[#This Row],[Date]])</f>
        <v>10</v>
      </c>
      <c r="C28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8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8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86" spans="1:5">
      <c r="A286" s="5">
        <v>45211</v>
      </c>
      <c r="B286" s="3">
        <f>MONTH(Shifts[[#This Row],[Date]])</f>
        <v>10</v>
      </c>
      <c r="C28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8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8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87" spans="1:5">
      <c r="A287" s="5">
        <v>45212</v>
      </c>
      <c r="B287" s="3">
        <f>MONTH(Shifts[[#This Row],[Date]])</f>
        <v>10</v>
      </c>
      <c r="C28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8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8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88" spans="1:5">
      <c r="A288" s="5">
        <v>45213</v>
      </c>
      <c r="B288" s="3">
        <f>MONTH(Shifts[[#This Row],[Date]])</f>
        <v>10</v>
      </c>
      <c r="C28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8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8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89" spans="1:5">
      <c r="A289" s="5">
        <v>45214</v>
      </c>
      <c r="B289" s="3">
        <f>MONTH(Shifts[[#This Row],[Date]])</f>
        <v>10</v>
      </c>
      <c r="C28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8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8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90" spans="1:5">
      <c r="A290" s="5">
        <v>45215</v>
      </c>
      <c r="B290" s="3">
        <f>MONTH(Shifts[[#This Row],[Date]])</f>
        <v>10</v>
      </c>
      <c r="C29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9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9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91" spans="1:5">
      <c r="A291" s="5">
        <v>45216</v>
      </c>
      <c r="B291" s="3">
        <f>MONTH(Shifts[[#This Row],[Date]])</f>
        <v>10</v>
      </c>
      <c r="C29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9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9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92" spans="1:5">
      <c r="A292" s="5">
        <v>45217</v>
      </c>
      <c r="B292" s="3">
        <f>MONTH(Shifts[[#This Row],[Date]])</f>
        <v>10</v>
      </c>
      <c r="C29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9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9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93" spans="1:5">
      <c r="A293" s="5">
        <v>45218</v>
      </c>
      <c r="B293" s="3">
        <f>MONTH(Shifts[[#This Row],[Date]])</f>
        <v>10</v>
      </c>
      <c r="C29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9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9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94" spans="1:5">
      <c r="A294" s="5">
        <v>45219</v>
      </c>
      <c r="B294" s="3">
        <f>MONTH(Shifts[[#This Row],[Date]])</f>
        <v>10</v>
      </c>
      <c r="C29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9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9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95" spans="1:5">
      <c r="A295" s="5">
        <v>45220</v>
      </c>
      <c r="B295" s="3">
        <f>MONTH(Shifts[[#This Row],[Date]])</f>
        <v>10</v>
      </c>
      <c r="C29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9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9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96" spans="1:5">
      <c r="A296" s="5">
        <v>45221</v>
      </c>
      <c r="B296" s="3">
        <f>MONTH(Shifts[[#This Row],[Date]])</f>
        <v>10</v>
      </c>
      <c r="C29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9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9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97" spans="1:5">
      <c r="A297" s="5">
        <v>45222</v>
      </c>
      <c r="B297" s="3">
        <f>MONTH(Shifts[[#This Row],[Date]])</f>
        <v>10</v>
      </c>
      <c r="C29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9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9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98" spans="1:5">
      <c r="A298" s="5">
        <v>45223</v>
      </c>
      <c r="B298" s="3">
        <f>MONTH(Shifts[[#This Row],[Date]])</f>
        <v>10</v>
      </c>
      <c r="C29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9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9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299" spans="1:5">
      <c r="A299" s="5">
        <v>45224</v>
      </c>
      <c r="B299" s="3">
        <f>MONTH(Shifts[[#This Row],[Date]])</f>
        <v>10</v>
      </c>
      <c r="C29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29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29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00" spans="1:5">
      <c r="A300" s="5">
        <v>45225</v>
      </c>
      <c r="B300" s="3">
        <f>MONTH(Shifts[[#This Row],[Date]])</f>
        <v>10</v>
      </c>
      <c r="C30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0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0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01" spans="1:5">
      <c r="A301" s="5">
        <v>45226</v>
      </c>
      <c r="B301" s="3">
        <f>MONTH(Shifts[[#This Row],[Date]])</f>
        <v>10</v>
      </c>
      <c r="C30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0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0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02" spans="1:5">
      <c r="A302" s="5">
        <v>45227</v>
      </c>
      <c r="B302" s="3">
        <f>MONTH(Shifts[[#This Row],[Date]])</f>
        <v>10</v>
      </c>
      <c r="C30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0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0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03" spans="1:5">
      <c r="A303" s="5">
        <v>45228</v>
      </c>
      <c r="B303" s="3">
        <f>MONTH(Shifts[[#This Row],[Date]])</f>
        <v>10</v>
      </c>
      <c r="C30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0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0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04" spans="1:5">
      <c r="A304" s="5">
        <v>45229</v>
      </c>
      <c r="B304" s="3">
        <f>MONTH(Shifts[[#This Row],[Date]])</f>
        <v>10</v>
      </c>
      <c r="C30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0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0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05" spans="1:5">
      <c r="A305" s="5">
        <v>45230</v>
      </c>
      <c r="B305" s="3">
        <f>MONTH(Shifts[[#This Row],[Date]])</f>
        <v>10</v>
      </c>
      <c r="C30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0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0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06" spans="1:5">
      <c r="A306" s="5">
        <v>45231</v>
      </c>
      <c r="B306" s="3">
        <f>MONTH(Shifts[[#This Row],[Date]])</f>
        <v>11</v>
      </c>
      <c r="C30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0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0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07" spans="1:5">
      <c r="A307" s="5">
        <v>45232</v>
      </c>
      <c r="B307" s="3">
        <f>MONTH(Shifts[[#This Row],[Date]])</f>
        <v>11</v>
      </c>
      <c r="C30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0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0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08" spans="1:5">
      <c r="A308" s="5">
        <v>45233</v>
      </c>
      <c r="B308" s="3">
        <f>MONTH(Shifts[[#This Row],[Date]])</f>
        <v>11</v>
      </c>
      <c r="C30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0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0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09" spans="1:5">
      <c r="A309" s="5">
        <v>45234</v>
      </c>
      <c r="B309" s="3">
        <f>MONTH(Shifts[[#This Row],[Date]])</f>
        <v>11</v>
      </c>
      <c r="C30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0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0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10" spans="1:5">
      <c r="A310" s="5">
        <v>45235</v>
      </c>
      <c r="B310" s="3">
        <f>MONTH(Shifts[[#This Row],[Date]])</f>
        <v>11</v>
      </c>
      <c r="C31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1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1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11" spans="1:5">
      <c r="A311" s="5">
        <v>45236</v>
      </c>
      <c r="B311" s="3">
        <f>MONTH(Shifts[[#This Row],[Date]])</f>
        <v>11</v>
      </c>
      <c r="C31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1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1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12" spans="1:5">
      <c r="A312" s="5">
        <v>45237</v>
      </c>
      <c r="B312" s="3">
        <f>MONTH(Shifts[[#This Row],[Date]])</f>
        <v>11</v>
      </c>
      <c r="C31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1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1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13" spans="1:5">
      <c r="A313" s="5">
        <v>45238</v>
      </c>
      <c r="B313" s="3">
        <f>MONTH(Shifts[[#This Row],[Date]])</f>
        <v>11</v>
      </c>
      <c r="C31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1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1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14" spans="1:5">
      <c r="A314" s="5">
        <v>45239</v>
      </c>
      <c r="B314" s="3">
        <f>MONTH(Shifts[[#This Row],[Date]])</f>
        <v>11</v>
      </c>
      <c r="C31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1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1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15" spans="1:5">
      <c r="A315" s="5">
        <v>45240</v>
      </c>
      <c r="B315" s="3">
        <f>MONTH(Shifts[[#This Row],[Date]])</f>
        <v>11</v>
      </c>
      <c r="C31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1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1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16" spans="1:5">
      <c r="A316" s="5">
        <v>45241</v>
      </c>
      <c r="B316" s="3">
        <f>MONTH(Shifts[[#This Row],[Date]])</f>
        <v>11</v>
      </c>
      <c r="C31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1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1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17" spans="1:5">
      <c r="A317" s="5">
        <v>45242</v>
      </c>
      <c r="B317" s="3">
        <f>MONTH(Shifts[[#This Row],[Date]])</f>
        <v>11</v>
      </c>
      <c r="C31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1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1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18" spans="1:5">
      <c r="A318" s="5">
        <v>45243</v>
      </c>
      <c r="B318" s="3">
        <f>MONTH(Shifts[[#This Row],[Date]])</f>
        <v>11</v>
      </c>
      <c r="C31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1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1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19" spans="1:5">
      <c r="A319" s="5">
        <v>45244</v>
      </c>
      <c r="B319" s="3">
        <f>MONTH(Shifts[[#This Row],[Date]])</f>
        <v>11</v>
      </c>
      <c r="C31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1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1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20" spans="1:5">
      <c r="A320" s="5">
        <v>45245</v>
      </c>
      <c r="B320" s="3">
        <f>MONTH(Shifts[[#This Row],[Date]])</f>
        <v>11</v>
      </c>
      <c r="C32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2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2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21" spans="1:5">
      <c r="A321" s="5">
        <v>45246</v>
      </c>
      <c r="B321" s="3">
        <f>MONTH(Shifts[[#This Row],[Date]])</f>
        <v>11</v>
      </c>
      <c r="C32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2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2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22" spans="1:5">
      <c r="A322" s="5">
        <v>45247</v>
      </c>
      <c r="B322" s="3">
        <f>MONTH(Shifts[[#This Row],[Date]])</f>
        <v>11</v>
      </c>
      <c r="C32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2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2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23" spans="1:5">
      <c r="A323" s="5">
        <v>45248</v>
      </c>
      <c r="B323" s="3">
        <f>MONTH(Shifts[[#This Row],[Date]])</f>
        <v>11</v>
      </c>
      <c r="C32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2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2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24" spans="1:5">
      <c r="A324" s="5">
        <v>45249</v>
      </c>
      <c r="B324" s="3">
        <f>MONTH(Shifts[[#This Row],[Date]])</f>
        <v>11</v>
      </c>
      <c r="C32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2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2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25" spans="1:5">
      <c r="A325" s="5">
        <v>45250</v>
      </c>
      <c r="B325" s="3">
        <f>MONTH(Shifts[[#This Row],[Date]])</f>
        <v>11</v>
      </c>
      <c r="C32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2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2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26" spans="1:5">
      <c r="A326" s="5">
        <v>45251</v>
      </c>
      <c r="B326" s="3">
        <f>MONTH(Shifts[[#This Row],[Date]])</f>
        <v>11</v>
      </c>
      <c r="C32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2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2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27" spans="1:5">
      <c r="A327" s="5">
        <v>45252</v>
      </c>
      <c r="B327" s="3">
        <f>MONTH(Shifts[[#This Row],[Date]])</f>
        <v>11</v>
      </c>
      <c r="C32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2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2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28" spans="1:5">
      <c r="A328" s="5">
        <v>45253</v>
      </c>
      <c r="B328" s="3">
        <f>MONTH(Shifts[[#This Row],[Date]])</f>
        <v>11</v>
      </c>
      <c r="C32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2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2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29" spans="1:5">
      <c r="A329" s="5">
        <v>45254</v>
      </c>
      <c r="B329" s="3">
        <f>MONTH(Shifts[[#This Row],[Date]])</f>
        <v>11</v>
      </c>
      <c r="C32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2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2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30" spans="1:5">
      <c r="A330" s="5">
        <v>45255</v>
      </c>
      <c r="B330" s="3">
        <f>MONTH(Shifts[[#This Row],[Date]])</f>
        <v>11</v>
      </c>
      <c r="C33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3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3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31" spans="1:5">
      <c r="A331" s="5">
        <v>45256</v>
      </c>
      <c r="B331" s="3">
        <f>MONTH(Shifts[[#This Row],[Date]])</f>
        <v>11</v>
      </c>
      <c r="C33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3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3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32" spans="1:5">
      <c r="A332" s="5">
        <v>45257</v>
      </c>
      <c r="B332" s="3">
        <f>MONTH(Shifts[[#This Row],[Date]])</f>
        <v>11</v>
      </c>
      <c r="C33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3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3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33" spans="1:5">
      <c r="A333" s="5">
        <v>45258</v>
      </c>
      <c r="B333" s="3">
        <f>MONTH(Shifts[[#This Row],[Date]])</f>
        <v>11</v>
      </c>
      <c r="C33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3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3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34" spans="1:5">
      <c r="A334" s="5">
        <v>45259</v>
      </c>
      <c r="B334" s="3">
        <f>MONTH(Shifts[[#This Row],[Date]])</f>
        <v>11</v>
      </c>
      <c r="C33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3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3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35" spans="1:5">
      <c r="A335" s="5">
        <v>45260</v>
      </c>
      <c r="B335" s="3">
        <f>MONTH(Shifts[[#This Row],[Date]])</f>
        <v>11</v>
      </c>
      <c r="C33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3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3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36" spans="1:5">
      <c r="A336" s="5">
        <v>45261</v>
      </c>
      <c r="B336" s="3">
        <f>MONTH(Shifts[[#This Row],[Date]])</f>
        <v>12</v>
      </c>
      <c r="C33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3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3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37" spans="1:5">
      <c r="A337" s="5">
        <v>45262</v>
      </c>
      <c r="B337" s="3">
        <f>MONTH(Shifts[[#This Row],[Date]])</f>
        <v>12</v>
      </c>
      <c r="C33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3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3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38" spans="1:5">
      <c r="A338" s="5">
        <v>45263</v>
      </c>
      <c r="B338" s="3">
        <f>MONTH(Shifts[[#This Row],[Date]])</f>
        <v>12</v>
      </c>
      <c r="C33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3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3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39" spans="1:5">
      <c r="A339" s="5">
        <v>45264</v>
      </c>
      <c r="B339" s="3">
        <f>MONTH(Shifts[[#This Row],[Date]])</f>
        <v>12</v>
      </c>
      <c r="C33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3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3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40" spans="1:5">
      <c r="A340" s="5">
        <v>45265</v>
      </c>
      <c r="B340" s="3">
        <f>MONTH(Shifts[[#This Row],[Date]])</f>
        <v>12</v>
      </c>
      <c r="C34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4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4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41" spans="1:5">
      <c r="A341" s="5">
        <v>45266</v>
      </c>
      <c r="B341" s="3">
        <f>MONTH(Shifts[[#This Row],[Date]])</f>
        <v>12</v>
      </c>
      <c r="C34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4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4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42" spans="1:5">
      <c r="A342" s="5">
        <v>45267</v>
      </c>
      <c r="B342" s="3">
        <f>MONTH(Shifts[[#This Row],[Date]])</f>
        <v>12</v>
      </c>
      <c r="C34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4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4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43" spans="1:5">
      <c r="A343" s="5">
        <v>45268</v>
      </c>
      <c r="B343" s="3">
        <f>MONTH(Shifts[[#This Row],[Date]])</f>
        <v>12</v>
      </c>
      <c r="C34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4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4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44" spans="1:5">
      <c r="A344" s="5">
        <v>45269</v>
      </c>
      <c r="B344" s="3">
        <f>MONTH(Shifts[[#This Row],[Date]])</f>
        <v>12</v>
      </c>
      <c r="C34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4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4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45" spans="1:5">
      <c r="A345" s="5">
        <v>45270</v>
      </c>
      <c r="B345" s="3">
        <f>MONTH(Shifts[[#This Row],[Date]])</f>
        <v>12</v>
      </c>
      <c r="C34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4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4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46" spans="1:5">
      <c r="A346" s="5">
        <v>45271</v>
      </c>
      <c r="B346" s="3">
        <f>MONTH(Shifts[[#This Row],[Date]])</f>
        <v>12</v>
      </c>
      <c r="C34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4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4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47" spans="1:5">
      <c r="A347" s="5">
        <v>45272</v>
      </c>
      <c r="B347" s="3">
        <f>MONTH(Shifts[[#This Row],[Date]])</f>
        <v>12</v>
      </c>
      <c r="C34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4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4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48" spans="1:5">
      <c r="A348" s="5">
        <v>45273</v>
      </c>
      <c r="B348" s="3">
        <f>MONTH(Shifts[[#This Row],[Date]])</f>
        <v>12</v>
      </c>
      <c r="C34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4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4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49" spans="1:5">
      <c r="A349" s="5">
        <v>45274</v>
      </c>
      <c r="B349" s="3">
        <f>MONTH(Shifts[[#This Row],[Date]])</f>
        <v>12</v>
      </c>
      <c r="C34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4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4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50" spans="1:5">
      <c r="A350" s="5">
        <v>45275</v>
      </c>
      <c r="B350" s="3">
        <f>MONTH(Shifts[[#This Row],[Date]])</f>
        <v>12</v>
      </c>
      <c r="C35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5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5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51" spans="1:5">
      <c r="A351" s="5">
        <v>45276</v>
      </c>
      <c r="B351" s="3">
        <f>MONTH(Shifts[[#This Row],[Date]])</f>
        <v>12</v>
      </c>
      <c r="C35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5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5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52" spans="1:5">
      <c r="A352" s="5">
        <v>45277</v>
      </c>
      <c r="B352" s="3">
        <f>MONTH(Shifts[[#This Row],[Date]])</f>
        <v>12</v>
      </c>
      <c r="C35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5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5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53" spans="1:5">
      <c r="A353" s="5">
        <v>45278</v>
      </c>
      <c r="B353" s="3">
        <f>MONTH(Shifts[[#This Row],[Date]])</f>
        <v>12</v>
      </c>
      <c r="C35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5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5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54" spans="1:5">
      <c r="A354" s="5">
        <v>45279</v>
      </c>
      <c r="B354" s="3">
        <f>MONTH(Shifts[[#This Row],[Date]])</f>
        <v>12</v>
      </c>
      <c r="C35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5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5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55" spans="1:5">
      <c r="A355" s="5">
        <v>45280</v>
      </c>
      <c r="B355" s="3">
        <f>MONTH(Shifts[[#This Row],[Date]])</f>
        <v>12</v>
      </c>
      <c r="C35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5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5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56" spans="1:5">
      <c r="A356" s="5">
        <v>45281</v>
      </c>
      <c r="B356" s="3">
        <f>MONTH(Shifts[[#This Row],[Date]])</f>
        <v>12</v>
      </c>
      <c r="C35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5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5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57" spans="1:5">
      <c r="A357" s="5">
        <v>45282</v>
      </c>
      <c r="B357" s="3">
        <f>MONTH(Shifts[[#This Row],[Date]])</f>
        <v>12</v>
      </c>
      <c r="C357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57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57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58" spans="1:5">
      <c r="A358" s="5">
        <v>45283</v>
      </c>
      <c r="B358" s="3">
        <f>MONTH(Shifts[[#This Row],[Date]])</f>
        <v>12</v>
      </c>
      <c r="C358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58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58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59" spans="1:5">
      <c r="A359" s="5">
        <v>45284</v>
      </c>
      <c r="B359" s="3">
        <f>MONTH(Shifts[[#This Row],[Date]])</f>
        <v>12</v>
      </c>
      <c r="C359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59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59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60" spans="1:5">
      <c r="A360" s="5">
        <v>45285</v>
      </c>
      <c r="B360" s="3">
        <f>MONTH(Shifts[[#This Row],[Date]])</f>
        <v>12</v>
      </c>
      <c r="C360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60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60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61" spans="1:5">
      <c r="A361" s="5">
        <v>45286</v>
      </c>
      <c r="B361" s="3">
        <f>MONTH(Shifts[[#This Row],[Date]])</f>
        <v>12</v>
      </c>
      <c r="C361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61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61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62" spans="1:5">
      <c r="A362" s="5">
        <v>45287</v>
      </c>
      <c r="B362" s="3">
        <f>MONTH(Shifts[[#This Row],[Date]])</f>
        <v>12</v>
      </c>
      <c r="C362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62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62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63" spans="1:5">
      <c r="A363" s="5">
        <v>45288</v>
      </c>
      <c r="B363" s="3">
        <f>MONTH(Shifts[[#This Row],[Date]])</f>
        <v>12</v>
      </c>
      <c r="C363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63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63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64" spans="1:5">
      <c r="A364" s="5">
        <v>45289</v>
      </c>
      <c r="B364" s="3">
        <f>MONTH(Shifts[[#This Row],[Date]])</f>
        <v>12</v>
      </c>
      <c r="C364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64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64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65" spans="1:5">
      <c r="A365" s="5">
        <v>45290</v>
      </c>
      <c r="B365" s="3">
        <f>MONTH(Shifts[[#This Row],[Date]])</f>
        <v>12</v>
      </c>
      <c r="C365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65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65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  <row r="366" spans="1:5">
      <c r="A366" s="5">
        <v>45291</v>
      </c>
      <c r="B366" s="3">
        <f>MONTH(Shifts[[#This Row],[Date]])</f>
        <v>12</v>
      </c>
      <c r="C366">
        <f>IF(COUNTIFS(FirstLane[Date],Shifts[[#This Row],[Date]],FirstLane[Shift],"A")&gt;0,1,0)+IF(COUNTIFS(FirstLane[Date],Shifts[[#This Row],[Date]],FirstLane[Shift],"B")&gt;0,1,0)+IF(COUNTIFS(FirstLane[Date],Shifts[[#This Row],[Date]],FirstLane[Shift],"C")&gt;0,1,0)+IF(COUNTIFS(FirstLane[Date],Shifts[[#This Row],[Date]],FirstLane[Shift],"D")&gt;0,1,0)</f>
        <v>0</v>
      </c>
      <c r="D366">
        <f>IF(COUNTIFS(SecondLine[Date],Shifts[[#This Row],[Date]],SecondLine[Shift],"A")&gt;0,1,0)+IF(COUNTIFS(SecondLine[Date],Shifts[[#This Row],[Date]],SecondLine[Shift],"B")&gt;0,1,0)+IF(COUNTIFS(SecondLine[Date],Shifts[[#This Row],[Date]],SecondLine[Shift],"C")&gt;0,1,0)+IF(COUNTIFS(SecondLine[Date],Shifts[[#This Row],[Date]],SecondLine[Shift],"D")&gt;0,1,0)</f>
        <v>0</v>
      </c>
      <c r="E366">
        <f>IF(COUNTIFS(ThirdLine[Date],Shifts[[#This Row],[Date]],ThirdLine[Shift],"A")&gt;0,1,0)+IF(COUNTIFS(ThirdLine[Date],Shifts[[#This Row],[Date]],ThirdLine[Shift],"B")&gt;0,1,0)+IF(COUNTIFS(ThirdLine[Date],Shifts[[#This Row],[Date]],ThirdLine[Shift],"C")&gt;0,1,0)+IF(COUNTIFS(ThirdLine[Date],Shifts[[#This Row],[Date]],ThirdLine[Shift],"D")&gt;0,1,0)</f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EEB1A-3E2C-4730-89AC-EB74E498DE8C}">
  <dimension ref="A1:D13"/>
  <sheetViews>
    <sheetView tabSelected="1" workbookViewId="0"/>
  </sheetViews>
  <sheetFormatPr defaultRowHeight="15"/>
  <cols>
    <col min="1" max="1" width="9.140625" customWidth="1"/>
    <col min="2" max="2" width="9.42578125" customWidth="1"/>
  </cols>
  <sheetData>
    <row r="1" spans="1:4">
      <c r="A1" t="s">
        <v>52</v>
      </c>
      <c r="B1" t="s">
        <v>35</v>
      </c>
      <c r="C1" t="s">
        <v>36</v>
      </c>
      <c r="D1" t="s">
        <v>37</v>
      </c>
    </row>
    <row r="2" spans="1:4">
      <c r="A2">
        <v>1</v>
      </c>
      <c r="B2">
        <f>SUMIFS(Shifts[FirstLane],Shifts[Month],MonthShifts[[#This Row],[Month]])</f>
        <v>12</v>
      </c>
      <c r="C2">
        <f>SUMIFS(Shifts[SecondLine],Shifts[Month],MonthShifts[[#This Row],[Month]])</f>
        <v>31</v>
      </c>
      <c r="D2">
        <f>SUMIFS(Shifts[ThirdLine],Shifts[Month],MonthShifts[[#This Row],[Month]])</f>
        <v>33</v>
      </c>
    </row>
    <row r="3" spans="1:4">
      <c r="A3">
        <v>2</v>
      </c>
      <c r="B3">
        <f>SUMIFS(Shifts[FirstLane],Shifts[Month],MonthShifts[[#This Row],[Month]])</f>
        <v>16</v>
      </c>
      <c r="C3">
        <f>SUMIFS(Shifts[SecondLine],Shifts[Month],MonthShifts[[#This Row],[Month]])</f>
        <v>39</v>
      </c>
      <c r="D3">
        <f>SUMIFS(Shifts[ThirdLine],Shifts[Month],MonthShifts[[#This Row],[Month]])</f>
        <v>42</v>
      </c>
    </row>
    <row r="4" spans="1:4">
      <c r="A4">
        <v>3</v>
      </c>
      <c r="B4">
        <f>SUMIFS(Shifts[FirstLane],Shifts[Month],MonthShifts[[#This Row],[Month]])</f>
        <v>17</v>
      </c>
      <c r="C4">
        <f>SUMIFS(Shifts[SecondLine],Shifts[Month],MonthShifts[[#This Row],[Month]])</f>
        <v>44</v>
      </c>
      <c r="D4">
        <f>SUMIFS(Shifts[ThirdLine],Shifts[Month],MonthShifts[[#This Row],[Month]])</f>
        <v>48</v>
      </c>
    </row>
    <row r="5" spans="1:4">
      <c r="A5">
        <v>4</v>
      </c>
      <c r="B5">
        <f>SUMIFS(Shifts[FirstLane],Shifts[Month],MonthShifts[[#This Row],[Month]])</f>
        <v>10</v>
      </c>
      <c r="C5">
        <f>SUMIFS(Shifts[SecondLine],Shifts[Month],MonthShifts[[#This Row],[Month]])</f>
        <v>42</v>
      </c>
      <c r="D5">
        <f>SUMIFS(Shifts[ThirdLine],Shifts[Month],MonthShifts[[#This Row],[Month]])</f>
        <v>45</v>
      </c>
    </row>
    <row r="6" spans="1:4">
      <c r="A6">
        <v>5</v>
      </c>
      <c r="B6">
        <f>SUMIFS(Shifts[FirstLane],Shifts[Month],MonthShifts[[#This Row],[Month]])</f>
        <v>0</v>
      </c>
      <c r="C6">
        <f>SUMIFS(Shifts[SecondLine],Shifts[Month],MonthShifts[[#This Row],[Month]])</f>
        <v>19</v>
      </c>
      <c r="D6">
        <f>SUMIFS(Shifts[ThirdLine],Shifts[Month],MonthShifts[[#This Row],[Month]])</f>
        <v>20</v>
      </c>
    </row>
    <row r="7" spans="1:4">
      <c r="A7">
        <v>6</v>
      </c>
      <c r="B7">
        <f>SUMIFS(Shifts[FirstLane],Shifts[Month],MonthShifts[[#This Row],[Month]])</f>
        <v>0</v>
      </c>
      <c r="C7">
        <f>SUMIFS(Shifts[SecondLine],Shifts[Month],MonthShifts[[#This Row],[Month]])</f>
        <v>0</v>
      </c>
      <c r="D7">
        <f>SUMIFS(Shifts[ThirdLine],Shifts[Month],MonthShifts[[#This Row],[Month]])</f>
        <v>0</v>
      </c>
    </row>
    <row r="8" spans="1:4">
      <c r="A8">
        <v>7</v>
      </c>
      <c r="B8">
        <f>SUMIFS(Shifts[FirstLane],Shifts[Month],MonthShifts[[#This Row],[Month]])</f>
        <v>0</v>
      </c>
      <c r="C8">
        <f>SUMIFS(Shifts[SecondLine],Shifts[Month],MonthShifts[[#This Row],[Month]])</f>
        <v>0</v>
      </c>
      <c r="D8">
        <f>SUMIFS(Shifts[ThirdLine],Shifts[Month],MonthShifts[[#This Row],[Month]])</f>
        <v>0</v>
      </c>
    </row>
    <row r="9" spans="1:4">
      <c r="A9">
        <v>8</v>
      </c>
      <c r="B9">
        <f>SUMIFS(Shifts[FirstLane],Shifts[Month],MonthShifts[[#This Row],[Month]])</f>
        <v>0</v>
      </c>
      <c r="C9">
        <f>SUMIFS(Shifts[SecondLine],Shifts[Month],MonthShifts[[#This Row],[Month]])</f>
        <v>0</v>
      </c>
      <c r="D9">
        <f>SUMIFS(Shifts[ThirdLine],Shifts[Month],MonthShifts[[#This Row],[Month]])</f>
        <v>0</v>
      </c>
    </row>
    <row r="10" spans="1:4">
      <c r="A10">
        <v>9</v>
      </c>
      <c r="B10">
        <f>SUMIFS(Shifts[FirstLane],Shifts[Month],MonthShifts[[#This Row],[Month]])</f>
        <v>0</v>
      </c>
      <c r="C10">
        <f>SUMIFS(Shifts[SecondLine],Shifts[Month],MonthShifts[[#This Row],[Month]])</f>
        <v>0</v>
      </c>
      <c r="D10">
        <f>SUMIFS(Shifts[ThirdLine],Shifts[Month],MonthShifts[[#This Row],[Month]])</f>
        <v>0</v>
      </c>
    </row>
    <row r="11" spans="1:4">
      <c r="A11">
        <v>10</v>
      </c>
      <c r="B11">
        <f>SUMIFS(Shifts[FirstLane],Shifts[Month],MonthShifts[[#This Row],[Month]])</f>
        <v>0</v>
      </c>
      <c r="C11">
        <f>SUMIFS(Shifts[SecondLine],Shifts[Month],MonthShifts[[#This Row],[Month]])</f>
        <v>0</v>
      </c>
      <c r="D11">
        <f>SUMIFS(Shifts[ThirdLine],Shifts[Month],MonthShifts[[#This Row],[Month]])</f>
        <v>0</v>
      </c>
    </row>
    <row r="12" spans="1:4">
      <c r="A12">
        <v>11</v>
      </c>
      <c r="B12">
        <f>SUMIFS(Shifts[FirstLane],Shifts[Month],MonthShifts[[#This Row],[Month]])</f>
        <v>0</v>
      </c>
      <c r="C12">
        <f>SUMIFS(Shifts[SecondLine],Shifts[Month],MonthShifts[[#This Row],[Month]])</f>
        <v>0</v>
      </c>
      <c r="D12">
        <f>SUMIFS(Shifts[ThirdLine],Shifts[Month],MonthShifts[[#This Row],[Month]])</f>
        <v>0</v>
      </c>
    </row>
    <row r="13" spans="1:4">
      <c r="A13">
        <v>12</v>
      </c>
      <c r="B13">
        <f>SUMIFS(Shifts[FirstLane],Shifts[Month],MonthShifts[[#This Row],[Month]])</f>
        <v>0</v>
      </c>
      <c r="C13">
        <f>SUMIFS(Shifts[SecondLine],Shifts[Month],MonthShifts[[#This Row],[Month]])</f>
        <v>0</v>
      </c>
      <c r="D13">
        <f>SUMIFS(Shifts[ThirdLine],Shifts[Month],MonthShifts[[#This Row],[Month]])</f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D3F7EC-D083-4E57-BD37-81B4E5B644F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FirstLane</vt:lpstr>
      <vt:lpstr>SecondLine</vt:lpstr>
      <vt:lpstr>ThirdLine</vt:lpstr>
      <vt:lpstr>Shifts</vt:lpstr>
      <vt:lpstr>ShiftsMonth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Paweł Rudzinski-prakt</dc:creator>
  <cp:lastModifiedBy>Paweł Rudzinski-prakt</cp:lastModifiedBy>
  <dcterms:created xsi:type="dcterms:W3CDTF">2015-06-05T18:19:34Z</dcterms:created>
  <dcterms:modified xsi:type="dcterms:W3CDTF">2023-08-30T14:14:26Z</dcterms:modified>
</cp:coreProperties>
</file>